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afcd2a46a138f3f/Desktop/Messiah/Spring 2026/STAT 292/"/>
    </mc:Choice>
  </mc:AlternateContent>
  <xr:revisionPtr revIDLastSave="289" documentId="11_E5CCCB42C3ADB92798DA8CB3DF94C45DD5031A73" xr6:coauthVersionLast="47" xr6:coauthVersionMax="47" xr10:uidLastSave="{1927D40B-982B-4D18-886C-3139B99A27F6}"/>
  <bookViews>
    <workbookView xWindow="-108" yWindow="-108" windowWidth="23256" windowHeight="12456" tabRatio="500" firstSheet="1" activeTab="4" xr2:uid="{00000000-000D-0000-FFFF-FFFF00000000}"/>
  </bookViews>
  <sheets>
    <sheet name="Summary" sheetId="1" r:id="rId1"/>
    <sheet name="Control" sheetId="2" r:id="rId2"/>
    <sheet name="Minimal" sheetId="3" r:id="rId3"/>
    <sheet name="Moderate" sheetId="4" r:id="rId4"/>
    <sheet name="Maximal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4" i="5" l="1"/>
  <c r="I24" i="5"/>
  <c r="H24" i="5"/>
  <c r="G24" i="5"/>
  <c r="F24" i="5"/>
  <c r="E24" i="5"/>
  <c r="D24" i="5"/>
  <c r="C24" i="5"/>
  <c r="B24" i="5"/>
  <c r="L23" i="5"/>
  <c r="K23" i="5"/>
  <c r="L22" i="5"/>
  <c r="K22" i="5"/>
  <c r="L21" i="5"/>
  <c r="K21" i="5"/>
  <c r="L20" i="5"/>
  <c r="K20" i="5"/>
  <c r="L19" i="5"/>
  <c r="K19" i="5"/>
  <c r="L18" i="5"/>
  <c r="K18" i="5"/>
  <c r="L17" i="5"/>
  <c r="K17" i="5"/>
  <c r="L16" i="5"/>
  <c r="K16" i="5"/>
  <c r="L15" i="5"/>
  <c r="K15" i="5"/>
  <c r="L14" i="5"/>
  <c r="K14" i="5"/>
  <c r="J24" i="4"/>
  <c r="I24" i="4"/>
  <c r="H24" i="4"/>
  <c r="F24" i="4"/>
  <c r="D24" i="4"/>
  <c r="B24" i="4"/>
  <c r="L23" i="4"/>
  <c r="K23" i="4"/>
  <c r="L22" i="4"/>
  <c r="K22" i="4"/>
  <c r="L21" i="4"/>
  <c r="K21" i="4"/>
  <c r="L20" i="4"/>
  <c r="K20" i="4"/>
  <c r="L19" i="4"/>
  <c r="K19" i="4"/>
  <c r="L18" i="4"/>
  <c r="K18" i="4"/>
  <c r="L17" i="4"/>
  <c r="K17" i="4"/>
  <c r="L16" i="4"/>
  <c r="K16" i="4"/>
  <c r="L15" i="4"/>
  <c r="K15" i="4"/>
  <c r="L14" i="4"/>
  <c r="K14" i="4"/>
  <c r="J24" i="3"/>
  <c r="I24" i="3"/>
  <c r="H24" i="3"/>
  <c r="F24" i="3"/>
  <c r="D24" i="3"/>
  <c r="B24" i="3"/>
  <c r="L23" i="3"/>
  <c r="K23" i="3"/>
  <c r="L22" i="3"/>
  <c r="K22" i="3"/>
  <c r="L21" i="3"/>
  <c r="K21" i="3"/>
  <c r="L20" i="3"/>
  <c r="K20" i="3"/>
  <c r="L19" i="3"/>
  <c r="K19" i="3"/>
  <c r="L18" i="3"/>
  <c r="K18" i="3"/>
  <c r="L17" i="3"/>
  <c r="K17" i="3"/>
  <c r="L16" i="3"/>
  <c r="K16" i="3"/>
  <c r="L15" i="3"/>
  <c r="K15" i="3"/>
  <c r="L14" i="3"/>
  <c r="K14" i="3"/>
  <c r="L24" i="2"/>
  <c r="J24" i="2"/>
  <c r="I24" i="2"/>
  <c r="K23" i="2"/>
  <c r="K22" i="2"/>
  <c r="K21" i="2"/>
  <c r="K20" i="2"/>
  <c r="K19" i="2"/>
  <c r="K18" i="2"/>
  <c r="K17" i="2"/>
  <c r="K16" i="2"/>
  <c r="K15" i="2"/>
  <c r="K14" i="2"/>
  <c r="C16" i="1"/>
  <c r="B16" i="1"/>
  <c r="C15" i="1"/>
  <c r="B15" i="1"/>
  <c r="C14" i="1"/>
  <c r="B14" i="1"/>
  <c r="C13" i="1"/>
  <c r="B13" i="1"/>
  <c r="D8" i="1"/>
  <c r="F8" i="1" s="1"/>
  <c r="D7" i="1"/>
  <c r="F7" i="1" s="1"/>
  <c r="D6" i="1"/>
  <c r="F6" i="1" s="1"/>
  <c r="F5" i="1"/>
  <c r="D5" i="1"/>
  <c r="K24" i="5" l="1"/>
  <c r="L24" i="5"/>
  <c r="D16" i="1"/>
  <c r="E16" i="1"/>
  <c r="K24" i="4"/>
  <c r="L24" i="4"/>
  <c r="D15" i="1"/>
  <c r="L24" i="3"/>
  <c r="K24" i="3"/>
  <c r="F14" i="1"/>
  <c r="E14" i="1"/>
  <c r="E13" i="1"/>
  <c r="F13" i="1"/>
  <c r="K24" i="2"/>
  <c r="E15" i="1"/>
  <c r="D13" i="1"/>
  <c r="F15" i="1"/>
  <c r="D14" i="1"/>
  <c r="F16" i="1"/>
</calcChain>
</file>

<file path=xl/sharedStrings.xml><?xml version="1.0" encoding="utf-8"?>
<sst xmlns="http://schemas.openxmlformats.org/spreadsheetml/2006/main" count="592" uniqueCount="109">
  <si>
    <t>STAT 292 — The Islands Research Study</t>
  </si>
  <si>
    <t>Study Tracking Workbook — Oxygen Uptake &amp; Running Plan Compliance</t>
  </si>
  <si>
    <t>Group</t>
  </si>
  <si>
    <t>Prescription</t>
  </si>
  <si>
    <t>Subjects</t>
  </si>
  <si>
    <t>Runs Completed</t>
  </si>
  <si>
    <t>Runs Prescribed</t>
  </si>
  <si>
    <t>Compliance %</t>
  </si>
  <si>
    <t>Control</t>
  </si>
  <si>
    <t>No running</t>
  </si>
  <si>
    <t>Minimal</t>
  </si>
  <si>
    <t>1 km outdoors</t>
  </si>
  <si>
    <t>Moderate</t>
  </si>
  <si>
    <t>5 km outdoors</t>
  </si>
  <si>
    <t>Maximal</t>
  </si>
  <si>
    <t>Oxygen Uptake — Group Means</t>
  </si>
  <si>
    <t>Mean Pre-test</t>
  </si>
  <si>
    <t>Mean Post-test</t>
  </si>
  <si>
    <t>Mean Change</t>
  </si>
  <si>
    <t>Std Dev Change</t>
  </si>
  <si>
    <t>n</t>
  </si>
  <si>
    <t>Instructions</t>
  </si>
  <si>
    <t>• Each treatment group has its own sheet for tracking subjects and runs.</t>
  </si>
  <si>
    <t>• Enter each subject's name in the Subject Name column.</t>
  </si>
  <si>
    <t>• Mark a run as completed by typing 'X' in the cell for that day. Cells will turn green automatically.</t>
  </si>
  <si>
    <t>• Cells shaded grey are rest days (no run prescribed for that group).</t>
  </si>
  <si>
    <t>• Yellow cells = Pre-test on Day 1. Orange cells = Post-test on Day 7 (Day 2 for Control).</t>
  </si>
  <si>
    <t>• Enter Pre-test and Post-test VO₂ values in the rightmost columns; change and group means update automatically.</t>
  </si>
  <si>
    <t>Treatment Group: Control</t>
  </si>
  <si>
    <t>Prescription: No running</t>
  </si>
  <si>
    <t>Run Compliance Tracker</t>
  </si>
  <si>
    <t>Subject Name</t>
  </si>
  <si>
    <t>Day 1</t>
  </si>
  <si>
    <t>Day 2</t>
  </si>
  <si>
    <t>Day 3</t>
  </si>
  <si>
    <t>Day 4</t>
  </si>
  <si>
    <t>Day 5</t>
  </si>
  <si>
    <t>Day 6</t>
  </si>
  <si>
    <t>Day 7</t>
  </si>
  <si>
    <t>Pre-test VO₂</t>
  </si>
  <si>
    <t>Post-test VO₂</t>
  </si>
  <si>
    <t>Change</t>
  </si>
  <si>
    <t>Runs ✓</t>
  </si>
  <si>
    <t>(islander)</t>
  </si>
  <si>
    <t>Pre-test</t>
  </si>
  <si>
    <t>Post-test</t>
  </si>
  <si>
    <t>Rest</t>
  </si>
  <si>
    <t>(mL/kg/min)</t>
  </si>
  <si>
    <t>Post − Pre</t>
  </si>
  <si>
    <t>of prescribed</t>
  </si>
  <si>
    <t>Legend:</t>
  </si>
  <si>
    <t>X = Run completed</t>
  </si>
  <si>
    <t>Pre-test day</t>
  </si>
  <si>
    <t>Post-test day</t>
  </si>
  <si>
    <t>Rest day</t>
  </si>
  <si>
    <t>Activity</t>
  </si>
  <si>
    <t>—</t>
  </si>
  <si>
    <t>Totals</t>
  </si>
  <si>
    <t>Treatment Group: Minimal</t>
  </si>
  <si>
    <t>Prescription: 1 km outdoors</t>
  </si>
  <si>
    <t>Pre-test + Run</t>
  </si>
  <si>
    <t>Run</t>
  </si>
  <si>
    <t>Run + Post-test</t>
  </si>
  <si>
    <t>Prescription: 5 km outdoors</t>
  </si>
  <si>
    <t>Treatment Group: Maximal</t>
  </si>
  <si>
    <t>Megane Favreau</t>
  </si>
  <si>
    <t>Elias Solberg</t>
  </si>
  <si>
    <t>Louise Morris</t>
  </si>
  <si>
    <t>Kayleigh Price</t>
  </si>
  <si>
    <t>Raphael McCarthy</t>
  </si>
  <si>
    <t>Arvid Solberg</t>
  </si>
  <si>
    <t>Elie Perrot</t>
  </si>
  <si>
    <t>Blade Quinn</t>
  </si>
  <si>
    <t>Louise Price</t>
  </si>
  <si>
    <t>Aadiv Basu</t>
  </si>
  <si>
    <t>Jacqueline Eklund</t>
  </si>
  <si>
    <t>Kayleigh Collins</t>
  </si>
  <si>
    <t>Sebastian Nagel</t>
  </si>
  <si>
    <t>Daniel Edwards</t>
  </si>
  <si>
    <t>Elle Mallick</t>
  </si>
  <si>
    <t>Grace Morris</t>
  </si>
  <si>
    <t>Paul Sorensen</t>
  </si>
  <si>
    <t>Tsugamasa Fukuda</t>
  </si>
  <si>
    <t>Michel Fabre</t>
  </si>
  <si>
    <t>Hina Davies</t>
  </si>
  <si>
    <t>Jacqueline Baumann</t>
  </si>
  <si>
    <t>Alick Black</t>
  </si>
  <si>
    <t>Yuka Regan</t>
  </si>
  <si>
    <t>Kyosuke Koyama</t>
  </si>
  <si>
    <t>Hiromori Hasegawa</t>
  </si>
  <si>
    <t>Daniel Jensen</t>
  </si>
  <si>
    <t>Rin Collins</t>
  </si>
  <si>
    <t>Noel Sato</t>
  </si>
  <si>
    <t>Arabelle Bager</t>
  </si>
  <si>
    <t>X</t>
  </si>
  <si>
    <t>Konstanze Hauser</t>
  </si>
  <si>
    <t>Gyan Varma</t>
  </si>
  <si>
    <t>Daiki Connolly</t>
  </si>
  <si>
    <t>Halden Lund</t>
  </si>
  <si>
    <t>Aina Fukuda</t>
  </si>
  <si>
    <t>Aurelie Gagnon</t>
  </si>
  <si>
    <t>Lawrence Black</t>
  </si>
  <si>
    <t>Kimitoshi Kono</t>
  </si>
  <si>
    <t>Gert Solberg</t>
  </si>
  <si>
    <t>Pierrick Erickson</t>
  </si>
  <si>
    <t>Gersende Babu</t>
  </si>
  <si>
    <t>withdrew on day 3</t>
  </si>
  <si>
    <t>Gert Pre-test V02</t>
  </si>
  <si>
    <t>Treatment Group: Moderate Running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</si>
</sst>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0.00;\-0.00;\-"/>
    <numFmt numFmtId="166" formatCode="0&quot; / 0&quot;"/>
    <numFmt numFmtId="167" formatCode="0&quot; / 4&quot;"/>
    <numFmt numFmtId="168" formatCode="0&quot; / 10&quot;"/>
    <numFmt numFmtId="169" formatCode="0&quot; / 40&quot;"/>
    <numFmt numFmtId="170" formatCode="0&quot; / 7&quot;"/>
    <numFmt numFmtId="171" formatCode="0&quot; / 70&quot;"/>
  </numFmts>
  <fonts count="11" x14ac:knownFonts="1">
    <font>
      <sz val="11"/>
      <color theme="1"/>
      <name val="Calibri"/>
      <family val="2"/>
      <charset val="1"/>
    </font>
    <font>
      <b/>
      <sz val="16"/>
      <color rgb="FF2E5984"/>
      <name val="Arial"/>
      <charset val="1"/>
    </font>
    <font>
      <i/>
      <sz val="11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color rgb="FF2E5984"/>
      <name val="Arial"/>
      <charset val="1"/>
    </font>
    <font>
      <i/>
      <sz val="11"/>
      <name val="Arial"/>
      <charset val="1"/>
    </font>
    <font>
      <b/>
      <sz val="11"/>
      <color rgb="FF2E5984"/>
      <name val="Arial"/>
      <charset val="1"/>
    </font>
    <font>
      <i/>
      <sz val="9"/>
      <color rgb="FF666666"/>
      <name val="Arial"/>
      <charset val="1"/>
    </font>
    <font>
      <sz val="9"/>
      <color rgb="FF99999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2E5984"/>
        <bgColor rgb="FF666666"/>
      </patternFill>
    </fill>
    <fill>
      <patternFill patternType="solid">
        <fgColor rgb="FFD5E0EE"/>
        <bgColor rgb="FFC6EFCE"/>
      </patternFill>
    </fill>
    <fill>
      <patternFill patternType="solid">
        <fgColor rgb="FFC6EFCE"/>
        <bgColor rgb="FFD5E0EE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0F0F0"/>
        <bgColor rgb="FFFCE4D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6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8" fillId="0" borderId="0" xfId="0" applyFont="1"/>
    <xf numFmtId="0" fontId="5" fillId="0" borderId="1" xfId="0" applyFont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166" fontId="4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/>
    </xf>
    <xf numFmtId="168" fontId="4" fillId="0" borderId="1" xfId="0" applyNumberFormat="1" applyFont="1" applyBorder="1" applyAlignment="1">
      <alignment horizontal="center"/>
    </xf>
    <xf numFmtId="169" fontId="4" fillId="3" borderId="1" xfId="0" applyNumberFormat="1" applyFont="1" applyFill="1" applyBorder="1" applyAlignment="1">
      <alignment horizontal="center"/>
    </xf>
    <xf numFmtId="170" fontId="5" fillId="0" borderId="1" xfId="0" applyNumberFormat="1" applyFont="1" applyBorder="1" applyAlignment="1">
      <alignment horizontal="center"/>
    </xf>
    <xf numFmtId="171" fontId="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2" fillId="0" borderId="0" xfId="0" applyFont="1"/>
  </cellXfs>
  <cellStyles count="1">
    <cellStyle name="Normal" xfId="0" builtinId="0"/>
  </cellStyles>
  <dxfs count="18"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F0F0F0"/>
      <rgbColor rgb="FF660066"/>
      <rgbColor rgb="FFFF8080"/>
      <rgbColor rgb="FF0066CC"/>
      <rgbColor rgb="FFD5E0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2E598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Normal="100" workbookViewId="0">
      <selection activeCell="B13" sqref="B13"/>
    </sheetView>
  </sheetViews>
  <sheetFormatPr defaultColWidth="8.6640625" defaultRowHeight="14.4" x14ac:dyDescent="0.3"/>
  <cols>
    <col min="1" max="1" width="14" customWidth="1"/>
    <col min="2" max="2" width="24" customWidth="1"/>
    <col min="3" max="3" width="12" customWidth="1"/>
    <col min="4" max="5" width="18" customWidth="1"/>
    <col min="6" max="6" width="16" customWidth="1"/>
  </cols>
  <sheetData>
    <row r="1" spans="1:6" ht="21" x14ac:dyDescent="0.4">
      <c r="A1" s="36" t="s">
        <v>0</v>
      </c>
      <c r="B1" s="36"/>
      <c r="C1" s="36"/>
      <c r="D1" s="36"/>
      <c r="E1" s="36"/>
      <c r="F1" s="36"/>
    </row>
    <row r="2" spans="1:6" x14ac:dyDescent="0.3">
      <c r="A2" s="40" t="s">
        <v>1</v>
      </c>
      <c r="B2" s="40"/>
      <c r="C2" s="40"/>
      <c r="D2" s="40"/>
      <c r="E2" s="40"/>
      <c r="F2" s="40"/>
    </row>
    <row r="4" spans="1:6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3">
      <c r="A5" s="3" t="s">
        <v>8</v>
      </c>
      <c r="B5" s="4" t="s">
        <v>9</v>
      </c>
      <c r="C5" s="4">
        <v>10</v>
      </c>
      <c r="D5" s="4">
        <f>SUM(Control!B14:H23)</f>
        <v>0</v>
      </c>
      <c r="E5" s="4">
        <v>0</v>
      </c>
      <c r="F5" s="5">
        <f>IF(E5=0,0,D5/E5)</f>
        <v>0</v>
      </c>
    </row>
    <row r="6" spans="1:6" x14ac:dyDescent="0.3">
      <c r="A6" s="3" t="s">
        <v>10</v>
      </c>
      <c r="B6" s="4" t="s">
        <v>11</v>
      </c>
      <c r="C6" s="4">
        <v>10</v>
      </c>
      <c r="D6" s="4">
        <f>SUM(Minimal!B14:H23)</f>
        <v>0</v>
      </c>
      <c r="E6" s="4">
        <v>40</v>
      </c>
      <c r="F6" s="5">
        <f>IF(E6=0,0,D6/E6)</f>
        <v>0</v>
      </c>
    </row>
    <row r="7" spans="1:6" x14ac:dyDescent="0.3">
      <c r="A7" s="3" t="s">
        <v>12</v>
      </c>
      <c r="B7" s="4" t="s">
        <v>13</v>
      </c>
      <c r="C7" s="4">
        <v>10</v>
      </c>
      <c r="D7" s="4">
        <f>SUM(Moderate!B14:H23)</f>
        <v>0</v>
      </c>
      <c r="E7" s="4">
        <v>40</v>
      </c>
      <c r="F7" s="5">
        <f>IF(E7=0,0,D7/E7)</f>
        <v>0</v>
      </c>
    </row>
    <row r="8" spans="1:6" x14ac:dyDescent="0.3">
      <c r="A8" s="3" t="s">
        <v>14</v>
      </c>
      <c r="B8" s="4" t="s">
        <v>13</v>
      </c>
      <c r="C8" s="4">
        <v>10</v>
      </c>
      <c r="D8" s="4">
        <f>SUM(Maximal!B14:H23)</f>
        <v>0</v>
      </c>
      <c r="E8" s="4">
        <v>70</v>
      </c>
      <c r="F8" s="5">
        <f>IF(E8=0,0,D8/E8)</f>
        <v>0</v>
      </c>
    </row>
    <row r="11" spans="1:6" ht="15.6" x14ac:dyDescent="0.3">
      <c r="A11" s="38" t="s">
        <v>15</v>
      </c>
      <c r="B11" s="38"/>
      <c r="C11" s="38"/>
      <c r="D11" s="38"/>
      <c r="E11" s="38"/>
      <c r="F11" s="38"/>
    </row>
    <row r="12" spans="1:6" x14ac:dyDescent="0.3">
      <c r="A12" s="6" t="s">
        <v>2</v>
      </c>
      <c r="B12" s="6" t="s">
        <v>16</v>
      </c>
      <c r="C12" s="6" t="s">
        <v>17</v>
      </c>
      <c r="D12" s="6" t="s">
        <v>18</v>
      </c>
      <c r="E12" s="6" t="s">
        <v>19</v>
      </c>
      <c r="F12" s="6" t="s">
        <v>20</v>
      </c>
    </row>
    <row r="13" spans="1:6" x14ac:dyDescent="0.3">
      <c r="A13" s="7" t="s">
        <v>8</v>
      </c>
      <c r="B13" s="8">
        <f>IFERROR(AVERAGE(Control!I14:I23),0)</f>
        <v>48.790000000000006</v>
      </c>
      <c r="C13" s="8">
        <f>IFERROR(AVERAGE(Control!J14:J23),0)</f>
        <v>48.709999999999994</v>
      </c>
      <c r="D13" s="8">
        <f>IFERROR(AVERAGE(Control!K14:K23),0)</f>
        <v>-7.9999999999999002E-2</v>
      </c>
      <c r="E13" s="8">
        <f>IFERROR(STDEV(Control!K14:K23),0)</f>
        <v>0.64429116951197984</v>
      </c>
      <c r="F13" s="9">
        <f>COUNT(Control!K14:K23)</f>
        <v>10</v>
      </c>
    </row>
    <row r="14" spans="1:6" x14ac:dyDescent="0.3">
      <c r="A14" s="7" t="s">
        <v>10</v>
      </c>
      <c r="B14" s="8">
        <f>IFERROR(AVERAGE(Minimal!I14:I23),0)</f>
        <v>53.219999999999992</v>
      </c>
      <c r="C14" s="8">
        <f>IFERROR(AVERAGE(Minimal!J14:J23),0)</f>
        <v>51.63000000000001</v>
      </c>
      <c r="D14" s="8">
        <f>IFERROR(AVERAGE(Minimal!K14:K23),0)</f>
        <v>-1.5899999999999976</v>
      </c>
      <c r="E14" s="8">
        <f>IFERROR(STDEV(Minimal!K14:K23),0)</f>
        <v>0.59898061552756188</v>
      </c>
      <c r="F14" s="9">
        <f>COUNT(Minimal!K14:K23)</f>
        <v>10</v>
      </c>
    </row>
    <row r="15" spans="1:6" x14ac:dyDescent="0.3">
      <c r="A15" s="7" t="s">
        <v>12</v>
      </c>
      <c r="B15" s="8">
        <f>IFERROR(AVERAGE(Moderate!I14:I23),0)</f>
        <v>51.940000000000012</v>
      </c>
      <c r="C15" s="8">
        <f>IFERROR(AVERAGE(Moderate!J14:J23),0)</f>
        <v>49.589999999999989</v>
      </c>
      <c r="D15" s="8">
        <f>IFERROR(AVERAGE(Moderate!K14:K23),0)</f>
        <v>-2.3499999999999979</v>
      </c>
      <c r="E15" s="8">
        <f>IFERROR(STDEV(Moderate!K14:K23),0)</f>
        <v>0.60231036665308646</v>
      </c>
      <c r="F15" s="9">
        <f>COUNT(Moderate!K14:K23)</f>
        <v>10</v>
      </c>
    </row>
    <row r="16" spans="1:6" x14ac:dyDescent="0.3">
      <c r="A16" s="7" t="s">
        <v>14</v>
      </c>
      <c r="B16" s="8">
        <f>IFERROR(AVERAGE(Maximal!I14:I23),0)</f>
        <v>59.666666666666664</v>
      </c>
      <c r="C16" s="8">
        <f>IFERROR(AVERAGE(Maximal!J14:J23),0)</f>
        <v>58.355555555555547</v>
      </c>
      <c r="D16" s="8">
        <f>IFERROR(AVERAGE(Maximal!K14:K23),0)</f>
        <v>-1.3111111111111131</v>
      </c>
      <c r="E16" s="8">
        <f>IFERROR(STDEV(Maximal!K14:K23),0)</f>
        <v>0.8237785570838253</v>
      </c>
      <c r="F16" s="9">
        <f>COUNT(Maximal!K14:K23)</f>
        <v>9</v>
      </c>
    </row>
    <row r="19" spans="1:6" ht="15.6" x14ac:dyDescent="0.3">
      <c r="A19" s="1" t="s">
        <v>21</v>
      </c>
    </row>
    <row r="20" spans="1:6" x14ac:dyDescent="0.3">
      <c r="A20" s="39" t="s">
        <v>22</v>
      </c>
      <c r="B20" s="39"/>
      <c r="C20" s="39"/>
      <c r="D20" s="39"/>
      <c r="E20" s="39"/>
      <c r="F20" s="39"/>
    </row>
    <row r="21" spans="1:6" x14ac:dyDescent="0.3">
      <c r="A21" s="39" t="s">
        <v>23</v>
      </c>
      <c r="B21" s="39"/>
      <c r="C21" s="39"/>
      <c r="D21" s="39"/>
      <c r="E21" s="39"/>
      <c r="F21" s="39"/>
    </row>
    <row r="22" spans="1:6" x14ac:dyDescent="0.3">
      <c r="A22" s="39" t="s">
        <v>24</v>
      </c>
      <c r="B22" s="39"/>
      <c r="C22" s="39"/>
      <c r="D22" s="39"/>
      <c r="E22" s="39"/>
      <c r="F22" s="39"/>
    </row>
    <row r="23" spans="1:6" x14ac:dyDescent="0.3">
      <c r="A23" s="39" t="s">
        <v>25</v>
      </c>
      <c r="B23" s="39"/>
      <c r="C23" s="39"/>
      <c r="D23" s="39"/>
      <c r="E23" s="39"/>
      <c r="F23" s="39"/>
    </row>
    <row r="24" spans="1:6" x14ac:dyDescent="0.3">
      <c r="A24" s="39" t="s">
        <v>26</v>
      </c>
      <c r="B24" s="39"/>
      <c r="C24" s="39"/>
      <c r="D24" s="39"/>
      <c r="E24" s="39"/>
      <c r="F24" s="39"/>
    </row>
    <row r="25" spans="1:6" x14ac:dyDescent="0.3">
      <c r="A25" s="39" t="s">
        <v>27</v>
      </c>
      <c r="B25" s="39"/>
      <c r="C25" s="39"/>
      <c r="D25" s="39"/>
      <c r="E25" s="39"/>
      <c r="F25" s="39"/>
    </row>
  </sheetData>
  <mergeCells count="9">
    <mergeCell ref="A22:F22"/>
    <mergeCell ref="A23:F23"/>
    <mergeCell ref="A24:F24"/>
    <mergeCell ref="A25:F25"/>
    <mergeCell ref="A1:F1"/>
    <mergeCell ref="A2:F2"/>
    <mergeCell ref="A11:F11"/>
    <mergeCell ref="A20:F20"/>
    <mergeCell ref="A21:F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zoomScale="76" zoomScaleNormal="100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 activeCell="M25" sqref="M25"/>
    </sheetView>
  </sheetViews>
  <sheetFormatPr defaultColWidth="8.6640625" defaultRowHeight="14.4" x14ac:dyDescent="0.3"/>
  <cols>
    <col min="1" max="1" width="22" customWidth="1"/>
    <col min="2" max="8" width="13" customWidth="1"/>
    <col min="9" max="10" width="14" customWidth="1"/>
    <col min="11" max="11" width="12" customWidth="1"/>
    <col min="12" max="12" width="14" customWidth="1"/>
  </cols>
  <sheetData>
    <row r="1" spans="1:12" ht="21" x14ac:dyDescent="0.4">
      <c r="A1" s="36" t="s">
        <v>28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x14ac:dyDescent="0.3">
      <c r="A2" s="37" t="s">
        <v>29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4" spans="1:12" ht="15.6" x14ac:dyDescent="0.3">
      <c r="A4" s="38" t="s">
        <v>30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6" spans="1:12" ht="31.5" customHeight="1" x14ac:dyDescent="0.3">
      <c r="A6" s="10" t="s">
        <v>31</v>
      </c>
      <c r="B6" s="10" t="s">
        <v>32</v>
      </c>
      <c r="C6" s="10" t="s">
        <v>33</v>
      </c>
      <c r="D6" s="10" t="s">
        <v>34</v>
      </c>
      <c r="E6" s="10" t="s">
        <v>35</v>
      </c>
      <c r="F6" s="10" t="s">
        <v>36</v>
      </c>
      <c r="G6" s="10" t="s">
        <v>37</v>
      </c>
      <c r="H6" s="10" t="s">
        <v>38</v>
      </c>
      <c r="I6" s="10" t="s">
        <v>39</v>
      </c>
      <c r="J6" s="10" t="s">
        <v>40</v>
      </c>
      <c r="K6" s="10" t="s">
        <v>41</v>
      </c>
      <c r="L6" s="10" t="s">
        <v>42</v>
      </c>
    </row>
    <row r="7" spans="1:12" ht="27.75" customHeight="1" x14ac:dyDescent="0.3">
      <c r="A7" s="11" t="s">
        <v>43</v>
      </c>
      <c r="B7" s="12" t="s">
        <v>44</v>
      </c>
      <c r="C7" s="12" t="s">
        <v>45</v>
      </c>
      <c r="D7" s="12" t="s">
        <v>46</v>
      </c>
      <c r="E7" s="12" t="s">
        <v>46</v>
      </c>
      <c r="F7" s="12" t="s">
        <v>46</v>
      </c>
      <c r="G7" s="12" t="s">
        <v>46</v>
      </c>
      <c r="H7" s="12" t="s">
        <v>46</v>
      </c>
      <c r="I7" s="12" t="s">
        <v>47</v>
      </c>
      <c r="J7" s="12" t="s">
        <v>47</v>
      </c>
      <c r="K7" s="12" t="s">
        <v>48</v>
      </c>
      <c r="L7" s="12" t="s">
        <v>49</v>
      </c>
    </row>
    <row r="9" spans="1:12" x14ac:dyDescent="0.3">
      <c r="A9" s="13" t="s">
        <v>50</v>
      </c>
      <c r="B9" s="14" t="s">
        <v>51</v>
      </c>
      <c r="D9" s="15" t="s">
        <v>52</v>
      </c>
      <c r="F9" s="16" t="s">
        <v>53</v>
      </c>
      <c r="H9" s="17" t="s">
        <v>54</v>
      </c>
    </row>
    <row r="11" spans="1:12" x14ac:dyDescent="0.3">
      <c r="A11" s="18" t="s">
        <v>4</v>
      </c>
    </row>
    <row r="12" spans="1:12" ht="31.5" customHeight="1" x14ac:dyDescent="0.3">
      <c r="A12" s="10"/>
      <c r="B12" s="10" t="s">
        <v>32</v>
      </c>
      <c r="C12" s="10" t="s">
        <v>33</v>
      </c>
      <c r="D12" s="10" t="s">
        <v>34</v>
      </c>
      <c r="E12" s="10" t="s">
        <v>35</v>
      </c>
      <c r="F12" s="10" t="s">
        <v>36</v>
      </c>
      <c r="G12" s="10" t="s">
        <v>37</v>
      </c>
      <c r="H12" s="10" t="s">
        <v>38</v>
      </c>
      <c r="I12" s="10" t="s">
        <v>39</v>
      </c>
      <c r="J12" s="10" t="s">
        <v>40</v>
      </c>
      <c r="K12" s="10" t="s">
        <v>41</v>
      </c>
      <c r="L12" s="10" t="s">
        <v>42</v>
      </c>
    </row>
    <row r="13" spans="1:12" ht="27.75" customHeight="1" x14ac:dyDescent="0.3">
      <c r="A13" s="12" t="s">
        <v>55</v>
      </c>
      <c r="B13" s="12" t="s">
        <v>44</v>
      </c>
      <c r="C13" s="12" t="s">
        <v>45</v>
      </c>
      <c r="D13" s="12" t="s">
        <v>46</v>
      </c>
      <c r="E13" s="12" t="s">
        <v>46</v>
      </c>
      <c r="F13" s="12" t="s">
        <v>46</v>
      </c>
      <c r="G13" s="12" t="s">
        <v>46</v>
      </c>
      <c r="H13" s="12" t="s">
        <v>46</v>
      </c>
      <c r="I13" s="12" t="s">
        <v>47</v>
      </c>
      <c r="J13" s="12" t="s">
        <v>47</v>
      </c>
      <c r="K13" s="12" t="s">
        <v>48</v>
      </c>
      <c r="L13" s="12" t="s">
        <v>49</v>
      </c>
    </row>
    <row r="14" spans="1:12" x14ac:dyDescent="0.3">
      <c r="A14" t="s">
        <v>65</v>
      </c>
      <c r="B14" s="20" t="s">
        <v>44</v>
      </c>
      <c r="C14" s="22" t="s">
        <v>56</v>
      </c>
      <c r="D14" s="22" t="s">
        <v>56</v>
      </c>
      <c r="E14" s="22" t="s">
        <v>56</v>
      </c>
      <c r="F14" s="22" t="s">
        <v>56</v>
      </c>
      <c r="G14" s="22" t="s">
        <v>56</v>
      </c>
      <c r="H14" s="21" t="s">
        <v>45</v>
      </c>
      <c r="I14">
        <v>36.4</v>
      </c>
      <c r="J14">
        <v>36.200000000000003</v>
      </c>
      <c r="K14" s="23">
        <f t="shared" ref="K14:K23" si="0">IF(AND(ISNUMBER(I14),ISNUMBER(J14)),J14-I14,"")</f>
        <v>-0.19999999999999574</v>
      </c>
      <c r="L14" s="24">
        <v>0</v>
      </c>
    </row>
    <row r="15" spans="1:12" x14ac:dyDescent="0.3">
      <c r="A15" t="s">
        <v>66</v>
      </c>
      <c r="B15" s="20" t="s">
        <v>44</v>
      </c>
      <c r="C15" s="22" t="s">
        <v>56</v>
      </c>
      <c r="D15" s="22" t="s">
        <v>56</v>
      </c>
      <c r="E15" s="22" t="s">
        <v>56</v>
      </c>
      <c r="F15" s="22" t="s">
        <v>56</v>
      </c>
      <c r="G15" s="22" t="s">
        <v>56</v>
      </c>
      <c r="H15" s="21" t="s">
        <v>45</v>
      </c>
      <c r="I15">
        <v>53.5</v>
      </c>
      <c r="J15">
        <v>53.2</v>
      </c>
      <c r="K15" s="23">
        <f t="shared" si="0"/>
        <v>-0.29999999999999716</v>
      </c>
      <c r="L15" s="24">
        <v>0</v>
      </c>
    </row>
    <row r="16" spans="1:12" x14ac:dyDescent="0.3">
      <c r="A16" t="s">
        <v>67</v>
      </c>
      <c r="B16" s="20" t="s">
        <v>44</v>
      </c>
      <c r="C16" s="22" t="s">
        <v>56</v>
      </c>
      <c r="D16" s="22" t="s">
        <v>56</v>
      </c>
      <c r="E16" s="22" t="s">
        <v>56</v>
      </c>
      <c r="F16" s="22" t="s">
        <v>56</v>
      </c>
      <c r="G16" s="22" t="s">
        <v>56</v>
      </c>
      <c r="H16" s="21" t="s">
        <v>45</v>
      </c>
      <c r="I16">
        <v>64.2</v>
      </c>
      <c r="J16">
        <v>64</v>
      </c>
      <c r="K16" s="23">
        <f t="shared" si="0"/>
        <v>-0.20000000000000284</v>
      </c>
      <c r="L16" s="24">
        <v>0</v>
      </c>
    </row>
    <row r="17" spans="1:12" x14ac:dyDescent="0.3">
      <c r="A17" t="s">
        <v>68</v>
      </c>
      <c r="B17" s="20" t="s">
        <v>44</v>
      </c>
      <c r="C17" s="22" t="s">
        <v>56</v>
      </c>
      <c r="D17" s="22" t="s">
        <v>56</v>
      </c>
      <c r="E17" s="22" t="s">
        <v>56</v>
      </c>
      <c r="F17" s="22" t="s">
        <v>56</v>
      </c>
      <c r="G17" s="22" t="s">
        <v>56</v>
      </c>
      <c r="H17" s="21" t="s">
        <v>45</v>
      </c>
      <c r="I17">
        <v>40</v>
      </c>
      <c r="J17">
        <v>40.6</v>
      </c>
      <c r="K17" s="23">
        <f t="shared" si="0"/>
        <v>0.60000000000000142</v>
      </c>
      <c r="L17" s="24">
        <v>0</v>
      </c>
    </row>
    <row r="18" spans="1:12" x14ac:dyDescent="0.3">
      <c r="A18" t="s">
        <v>69</v>
      </c>
      <c r="B18" s="20" t="s">
        <v>44</v>
      </c>
      <c r="C18" s="22" t="s">
        <v>56</v>
      </c>
      <c r="D18" s="22" t="s">
        <v>56</v>
      </c>
      <c r="E18" s="22" t="s">
        <v>56</v>
      </c>
      <c r="F18" s="22" t="s">
        <v>56</v>
      </c>
      <c r="G18" s="22" t="s">
        <v>56</v>
      </c>
      <c r="H18" s="21" t="s">
        <v>45</v>
      </c>
      <c r="I18">
        <v>45.3</v>
      </c>
      <c r="J18">
        <v>46.2</v>
      </c>
      <c r="K18" s="23">
        <f t="shared" si="0"/>
        <v>0.90000000000000568</v>
      </c>
      <c r="L18" s="24">
        <v>0</v>
      </c>
    </row>
    <row r="19" spans="1:12" x14ac:dyDescent="0.3">
      <c r="A19" t="s">
        <v>70</v>
      </c>
      <c r="B19" s="20" t="s">
        <v>44</v>
      </c>
      <c r="C19" s="22" t="s">
        <v>56</v>
      </c>
      <c r="D19" s="22" t="s">
        <v>56</v>
      </c>
      <c r="E19" s="22" t="s">
        <v>56</v>
      </c>
      <c r="F19" s="22" t="s">
        <v>56</v>
      </c>
      <c r="G19" s="22" t="s">
        <v>56</v>
      </c>
      <c r="H19" s="21" t="s">
        <v>45</v>
      </c>
      <c r="I19">
        <v>60.1</v>
      </c>
      <c r="J19">
        <v>59.4</v>
      </c>
      <c r="K19" s="23">
        <f t="shared" si="0"/>
        <v>-0.70000000000000284</v>
      </c>
      <c r="L19" s="24">
        <v>0</v>
      </c>
    </row>
    <row r="20" spans="1:12" x14ac:dyDescent="0.3">
      <c r="A20" s="19" t="s">
        <v>71</v>
      </c>
      <c r="B20" s="20" t="s">
        <v>44</v>
      </c>
      <c r="C20" s="22" t="s">
        <v>56</v>
      </c>
      <c r="D20" s="22" t="s">
        <v>56</v>
      </c>
      <c r="E20" s="22" t="s">
        <v>56</v>
      </c>
      <c r="F20" s="22" t="s">
        <v>56</v>
      </c>
      <c r="G20" s="22" t="s">
        <v>56</v>
      </c>
      <c r="H20" s="21" t="s">
        <v>45</v>
      </c>
      <c r="I20">
        <v>51.3</v>
      </c>
      <c r="J20">
        <v>50.9</v>
      </c>
      <c r="K20" s="23">
        <f t="shared" si="0"/>
        <v>-0.39999999999999858</v>
      </c>
      <c r="L20" s="24">
        <v>0</v>
      </c>
    </row>
    <row r="21" spans="1:12" x14ac:dyDescent="0.3">
      <c r="A21" s="19" t="s">
        <v>72</v>
      </c>
      <c r="B21" s="20" t="s">
        <v>44</v>
      </c>
      <c r="C21" s="22" t="s">
        <v>56</v>
      </c>
      <c r="D21" s="22" t="s">
        <v>56</v>
      </c>
      <c r="E21" s="22" t="s">
        <v>56</v>
      </c>
      <c r="F21" s="22" t="s">
        <v>56</v>
      </c>
      <c r="G21" s="22" t="s">
        <v>56</v>
      </c>
      <c r="H21" s="21" t="s">
        <v>45</v>
      </c>
      <c r="I21">
        <v>40.700000000000003</v>
      </c>
      <c r="J21">
        <v>40.1</v>
      </c>
      <c r="K21" s="23">
        <f t="shared" si="0"/>
        <v>-0.60000000000000142</v>
      </c>
      <c r="L21" s="24">
        <v>0</v>
      </c>
    </row>
    <row r="22" spans="1:12" x14ac:dyDescent="0.3">
      <c r="A22" t="s">
        <v>73</v>
      </c>
      <c r="B22" s="20" t="s">
        <v>44</v>
      </c>
      <c r="C22" s="22" t="s">
        <v>56</v>
      </c>
      <c r="D22" s="22" t="s">
        <v>56</v>
      </c>
      <c r="E22" s="22" t="s">
        <v>56</v>
      </c>
      <c r="F22" s="22" t="s">
        <v>56</v>
      </c>
      <c r="G22" s="22" t="s">
        <v>56</v>
      </c>
      <c r="H22" s="21" t="s">
        <v>45</v>
      </c>
      <c r="I22">
        <v>47.8</v>
      </c>
      <c r="J22">
        <v>48.7</v>
      </c>
      <c r="K22" s="23">
        <f t="shared" si="0"/>
        <v>0.90000000000000568</v>
      </c>
      <c r="L22" s="24">
        <v>0</v>
      </c>
    </row>
    <row r="23" spans="1:12" x14ac:dyDescent="0.3">
      <c r="A23" t="s">
        <v>74</v>
      </c>
      <c r="B23" s="20" t="s">
        <v>44</v>
      </c>
      <c r="C23" s="22" t="s">
        <v>56</v>
      </c>
      <c r="D23" s="22" t="s">
        <v>56</v>
      </c>
      <c r="E23" s="22" t="s">
        <v>56</v>
      </c>
      <c r="F23" s="22" t="s">
        <v>56</v>
      </c>
      <c r="G23" s="22" t="s">
        <v>56</v>
      </c>
      <c r="H23" s="21" t="s">
        <v>45</v>
      </c>
      <c r="I23">
        <v>48.6</v>
      </c>
      <c r="J23">
        <v>47.8</v>
      </c>
      <c r="K23" s="23">
        <f t="shared" si="0"/>
        <v>-0.80000000000000426</v>
      </c>
      <c r="L23" s="24">
        <v>0</v>
      </c>
    </row>
    <row r="24" spans="1:12" x14ac:dyDescent="0.3">
      <c r="A24" s="25" t="s">
        <v>57</v>
      </c>
      <c r="B24" s="26" t="s">
        <v>56</v>
      </c>
      <c r="C24" s="26" t="s">
        <v>56</v>
      </c>
      <c r="D24" s="26" t="s">
        <v>56</v>
      </c>
      <c r="E24" s="26" t="s">
        <v>56</v>
      </c>
      <c r="F24" s="26" t="s">
        <v>56</v>
      </c>
      <c r="G24" s="26" t="s">
        <v>56</v>
      </c>
      <c r="H24" s="26" t="s">
        <v>56</v>
      </c>
      <c r="I24" s="27">
        <f>IFERROR(AVERAGE(I14:I23),0)</f>
        <v>48.790000000000006</v>
      </c>
      <c r="J24" s="27">
        <f>IFERROR(AVERAGE(J14:J23),0)</f>
        <v>48.709999999999994</v>
      </c>
      <c r="K24" s="27">
        <f>IFERROR(AVERAGE(K14:K23),0)</f>
        <v>-7.9999999999999002E-2</v>
      </c>
      <c r="L24" s="28">
        <f>SUM(L14:L23)</f>
        <v>0</v>
      </c>
    </row>
  </sheetData>
  <mergeCells count="3">
    <mergeCell ref="A1:L1"/>
    <mergeCell ref="A2:L2"/>
    <mergeCell ref="A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"/>
  <sheetViews>
    <sheetView zoomScale="74" zoomScaleNormal="100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 activeCell="N25" sqref="N25"/>
    </sheetView>
  </sheetViews>
  <sheetFormatPr defaultColWidth="8.6640625" defaultRowHeight="14.4" x14ac:dyDescent="0.3"/>
  <cols>
    <col min="1" max="1" width="22" customWidth="1"/>
    <col min="2" max="8" width="13" customWidth="1"/>
    <col min="9" max="10" width="14" customWidth="1"/>
    <col min="11" max="11" width="12" customWidth="1"/>
    <col min="12" max="12" width="14" customWidth="1"/>
  </cols>
  <sheetData>
    <row r="1" spans="1:12" ht="21" x14ac:dyDescent="0.4">
      <c r="A1" s="36" t="s">
        <v>58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x14ac:dyDescent="0.3">
      <c r="A2" s="37" t="s">
        <v>59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4" spans="1:12" ht="15.6" x14ac:dyDescent="0.3">
      <c r="A4" s="38" t="s">
        <v>30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6" spans="1:12" ht="31.5" customHeight="1" x14ac:dyDescent="0.3">
      <c r="A6" s="10" t="s">
        <v>31</v>
      </c>
      <c r="B6" s="10" t="s">
        <v>32</v>
      </c>
      <c r="C6" s="10" t="s">
        <v>33</v>
      </c>
      <c r="D6" s="10" t="s">
        <v>34</v>
      </c>
      <c r="E6" s="10" t="s">
        <v>35</v>
      </c>
      <c r="F6" s="10" t="s">
        <v>36</v>
      </c>
      <c r="G6" s="10" t="s">
        <v>37</v>
      </c>
      <c r="H6" s="10" t="s">
        <v>38</v>
      </c>
      <c r="I6" s="10" t="s">
        <v>39</v>
      </c>
      <c r="J6" s="10" t="s">
        <v>40</v>
      </c>
      <c r="K6" s="10" t="s">
        <v>41</v>
      </c>
      <c r="L6" s="10" t="s">
        <v>42</v>
      </c>
    </row>
    <row r="7" spans="1:12" ht="27.75" customHeight="1" x14ac:dyDescent="0.3">
      <c r="A7" s="11" t="s">
        <v>43</v>
      </c>
      <c r="B7" s="12" t="s">
        <v>60</v>
      </c>
      <c r="C7" s="12" t="s">
        <v>46</v>
      </c>
      <c r="D7" s="12" t="s">
        <v>61</v>
      </c>
      <c r="E7" s="12" t="s">
        <v>46</v>
      </c>
      <c r="F7" s="12" t="s">
        <v>61</v>
      </c>
      <c r="G7" s="12" t="s">
        <v>46</v>
      </c>
      <c r="H7" s="12" t="s">
        <v>62</v>
      </c>
      <c r="I7" s="12" t="s">
        <v>47</v>
      </c>
      <c r="J7" s="12" t="s">
        <v>47</v>
      </c>
      <c r="K7" s="12" t="s">
        <v>48</v>
      </c>
      <c r="L7" s="12" t="s">
        <v>49</v>
      </c>
    </row>
    <row r="9" spans="1:12" x14ac:dyDescent="0.3">
      <c r="A9" s="13" t="s">
        <v>50</v>
      </c>
      <c r="B9" s="14" t="s">
        <v>51</v>
      </c>
      <c r="D9" s="15" t="s">
        <v>52</v>
      </c>
      <c r="F9" s="16" t="s">
        <v>53</v>
      </c>
      <c r="H9" s="17" t="s">
        <v>54</v>
      </c>
    </row>
    <row r="11" spans="1:12" x14ac:dyDescent="0.3">
      <c r="A11" s="18" t="s">
        <v>4</v>
      </c>
    </row>
    <row r="12" spans="1:12" ht="31.5" customHeight="1" x14ac:dyDescent="0.3">
      <c r="A12" s="10"/>
      <c r="B12" s="10" t="s">
        <v>32</v>
      </c>
      <c r="C12" s="10" t="s">
        <v>33</v>
      </c>
      <c r="D12" s="10" t="s">
        <v>34</v>
      </c>
      <c r="E12" s="10" t="s">
        <v>35</v>
      </c>
      <c r="F12" s="10" t="s">
        <v>36</v>
      </c>
      <c r="G12" s="10" t="s">
        <v>37</v>
      </c>
      <c r="H12" s="10" t="s">
        <v>38</v>
      </c>
      <c r="I12" s="10" t="s">
        <v>39</v>
      </c>
      <c r="J12" s="10" t="s">
        <v>40</v>
      </c>
      <c r="K12" s="10" t="s">
        <v>41</v>
      </c>
      <c r="L12" s="10" t="s">
        <v>42</v>
      </c>
    </row>
    <row r="13" spans="1:12" ht="27.75" customHeight="1" x14ac:dyDescent="0.3">
      <c r="A13" s="12" t="s">
        <v>55</v>
      </c>
      <c r="B13" s="12" t="s">
        <v>60</v>
      </c>
      <c r="C13" s="12" t="s">
        <v>46</v>
      </c>
      <c r="D13" s="12" t="s">
        <v>61</v>
      </c>
      <c r="E13" s="12" t="s">
        <v>46</v>
      </c>
      <c r="F13" s="12" t="s">
        <v>61</v>
      </c>
      <c r="G13" s="12" t="s">
        <v>46</v>
      </c>
      <c r="H13" s="12" t="s">
        <v>62</v>
      </c>
      <c r="I13" s="12" t="s">
        <v>47</v>
      </c>
      <c r="J13" s="12" t="s">
        <v>47</v>
      </c>
      <c r="K13" s="12" t="s">
        <v>48</v>
      </c>
      <c r="L13" s="12" t="s">
        <v>49</v>
      </c>
    </row>
    <row r="14" spans="1:12" x14ac:dyDescent="0.3">
      <c r="A14" s="19" t="s">
        <v>75</v>
      </c>
      <c r="B14" s="29" t="s">
        <v>94</v>
      </c>
      <c r="C14" s="22" t="s">
        <v>56</v>
      </c>
      <c r="D14" s="4" t="s">
        <v>94</v>
      </c>
      <c r="E14" s="22" t="s">
        <v>56</v>
      </c>
      <c r="F14" s="4" t="s">
        <v>94</v>
      </c>
      <c r="G14" s="22" t="s">
        <v>56</v>
      </c>
      <c r="H14" s="30" t="s">
        <v>94</v>
      </c>
      <c r="I14">
        <v>44.6</v>
      </c>
      <c r="J14">
        <v>42.1</v>
      </c>
      <c r="K14" s="23">
        <f t="shared" ref="K14:K23" si="0">IF(AND(ISNUMBER(I14),ISNUMBER(J14)),J14-I14,"")</f>
        <v>-2.5</v>
      </c>
      <c r="L14" s="31">
        <f t="shared" ref="L14:L23" si="1">IF(UPPER(B14)="X",1,0)+IF(UPPER(D14)="X",1,0)+IF(UPPER(F14)="X",1,0)+IF(UPPER(H14)="X",1,0)</f>
        <v>4</v>
      </c>
    </row>
    <row r="15" spans="1:12" x14ac:dyDescent="0.3">
      <c r="A15" t="s">
        <v>76</v>
      </c>
      <c r="B15" s="29" t="s">
        <v>94</v>
      </c>
      <c r="C15" s="22" t="s">
        <v>56</v>
      </c>
      <c r="D15" s="4" t="s">
        <v>94</v>
      </c>
      <c r="E15" s="22" t="s">
        <v>56</v>
      </c>
      <c r="F15" s="4" t="s">
        <v>94</v>
      </c>
      <c r="G15" s="22" t="s">
        <v>56</v>
      </c>
      <c r="H15" s="30" t="s">
        <v>94</v>
      </c>
      <c r="I15">
        <v>52.3</v>
      </c>
      <c r="J15">
        <v>50.7</v>
      </c>
      <c r="K15" s="23">
        <f t="shared" si="0"/>
        <v>-1.5999999999999943</v>
      </c>
      <c r="L15" s="31">
        <f t="shared" si="1"/>
        <v>4</v>
      </c>
    </row>
    <row r="16" spans="1:12" x14ac:dyDescent="0.3">
      <c r="A16" t="s">
        <v>77</v>
      </c>
      <c r="B16" s="29" t="s">
        <v>94</v>
      </c>
      <c r="C16" s="22" t="s">
        <v>56</v>
      </c>
      <c r="D16" s="4" t="s">
        <v>94</v>
      </c>
      <c r="E16" s="22" t="s">
        <v>56</v>
      </c>
      <c r="F16" s="4" t="s">
        <v>94</v>
      </c>
      <c r="G16" s="22" t="s">
        <v>56</v>
      </c>
      <c r="H16" s="30" t="s">
        <v>94</v>
      </c>
      <c r="I16">
        <v>52.1</v>
      </c>
      <c r="J16">
        <v>51</v>
      </c>
      <c r="K16" s="23">
        <f t="shared" si="0"/>
        <v>-1.1000000000000014</v>
      </c>
      <c r="L16" s="31">
        <f t="shared" si="1"/>
        <v>4</v>
      </c>
    </row>
    <row r="17" spans="1:12" x14ac:dyDescent="0.3">
      <c r="A17" t="s">
        <v>78</v>
      </c>
      <c r="B17" s="29" t="s">
        <v>94</v>
      </c>
      <c r="C17" s="22" t="s">
        <v>56</v>
      </c>
      <c r="D17" s="4" t="s">
        <v>94</v>
      </c>
      <c r="E17" s="22" t="s">
        <v>56</v>
      </c>
      <c r="F17" s="4" t="s">
        <v>94</v>
      </c>
      <c r="G17" s="22" t="s">
        <v>56</v>
      </c>
      <c r="H17" s="30" t="s">
        <v>94</v>
      </c>
      <c r="I17">
        <v>59.9</v>
      </c>
      <c r="J17">
        <v>58.6</v>
      </c>
      <c r="K17" s="23">
        <f t="shared" si="0"/>
        <v>-1.2999999999999972</v>
      </c>
      <c r="L17" s="31">
        <f t="shared" si="1"/>
        <v>4</v>
      </c>
    </row>
    <row r="18" spans="1:12" x14ac:dyDescent="0.3">
      <c r="A18" t="s">
        <v>79</v>
      </c>
      <c r="B18" s="29" t="s">
        <v>94</v>
      </c>
      <c r="C18" s="22" t="s">
        <v>56</v>
      </c>
      <c r="D18" s="4" t="s">
        <v>94</v>
      </c>
      <c r="E18" s="22" t="s">
        <v>56</v>
      </c>
      <c r="F18" s="4" t="s">
        <v>94</v>
      </c>
      <c r="G18" s="22" t="s">
        <v>56</v>
      </c>
      <c r="H18" s="30" t="s">
        <v>94</v>
      </c>
      <c r="I18">
        <v>37.700000000000003</v>
      </c>
      <c r="J18">
        <v>36.200000000000003</v>
      </c>
      <c r="K18" s="23">
        <f t="shared" si="0"/>
        <v>-1.5</v>
      </c>
      <c r="L18" s="31">
        <f t="shared" si="1"/>
        <v>4</v>
      </c>
    </row>
    <row r="19" spans="1:12" x14ac:dyDescent="0.3">
      <c r="A19" t="s">
        <v>80</v>
      </c>
      <c r="B19" s="29" t="s">
        <v>94</v>
      </c>
      <c r="C19" s="22" t="s">
        <v>56</v>
      </c>
      <c r="D19" s="4" t="s">
        <v>94</v>
      </c>
      <c r="E19" s="22" t="s">
        <v>56</v>
      </c>
      <c r="F19" s="4" t="s">
        <v>94</v>
      </c>
      <c r="G19" s="22" t="s">
        <v>56</v>
      </c>
      <c r="H19" s="30" t="s">
        <v>94</v>
      </c>
      <c r="I19">
        <v>45.7</v>
      </c>
      <c r="J19">
        <v>44.2</v>
      </c>
      <c r="K19" s="23">
        <f t="shared" si="0"/>
        <v>-1.5</v>
      </c>
      <c r="L19" s="31">
        <f t="shared" si="1"/>
        <v>4</v>
      </c>
    </row>
    <row r="20" spans="1:12" x14ac:dyDescent="0.3">
      <c r="A20" t="s">
        <v>81</v>
      </c>
      <c r="B20" s="29" t="s">
        <v>94</v>
      </c>
      <c r="C20" s="22" t="s">
        <v>56</v>
      </c>
      <c r="D20" s="4" t="s">
        <v>94</v>
      </c>
      <c r="E20" s="22" t="s">
        <v>56</v>
      </c>
      <c r="F20" s="4" t="s">
        <v>94</v>
      </c>
      <c r="G20" s="22" t="s">
        <v>56</v>
      </c>
      <c r="H20" s="30" t="s">
        <v>94</v>
      </c>
      <c r="I20">
        <v>66.599999999999994</v>
      </c>
      <c r="J20">
        <v>65.400000000000006</v>
      </c>
      <c r="K20" s="23">
        <f t="shared" si="0"/>
        <v>-1.1999999999999886</v>
      </c>
      <c r="L20" s="31">
        <f t="shared" si="1"/>
        <v>4</v>
      </c>
    </row>
    <row r="21" spans="1:12" x14ac:dyDescent="0.3">
      <c r="A21" t="s">
        <v>82</v>
      </c>
      <c r="B21" s="29" t="s">
        <v>94</v>
      </c>
      <c r="C21" s="22" t="s">
        <v>56</v>
      </c>
      <c r="D21" s="4" t="s">
        <v>94</v>
      </c>
      <c r="E21" s="22" t="s">
        <v>56</v>
      </c>
      <c r="F21" s="4" t="s">
        <v>94</v>
      </c>
      <c r="G21" s="22" t="s">
        <v>56</v>
      </c>
      <c r="H21" s="30" t="s">
        <v>94</v>
      </c>
      <c r="I21">
        <v>64.3</v>
      </c>
      <c r="J21">
        <v>62.4</v>
      </c>
      <c r="K21" s="23">
        <f t="shared" si="0"/>
        <v>-1.8999999999999986</v>
      </c>
      <c r="L21" s="31">
        <f t="shared" si="1"/>
        <v>4</v>
      </c>
    </row>
    <row r="22" spans="1:12" x14ac:dyDescent="0.3">
      <c r="A22" t="s">
        <v>83</v>
      </c>
      <c r="B22" s="29" t="s">
        <v>94</v>
      </c>
      <c r="C22" s="22" t="s">
        <v>56</v>
      </c>
      <c r="D22" s="4" t="s">
        <v>94</v>
      </c>
      <c r="E22" s="22" t="s">
        <v>56</v>
      </c>
      <c r="F22" s="4" t="s">
        <v>94</v>
      </c>
      <c r="G22" s="22" t="s">
        <v>56</v>
      </c>
      <c r="H22" s="30" t="s">
        <v>94</v>
      </c>
      <c r="I22">
        <v>43.7</v>
      </c>
      <c r="J22">
        <v>43</v>
      </c>
      <c r="K22" s="23">
        <f t="shared" si="0"/>
        <v>-0.70000000000000284</v>
      </c>
      <c r="L22" s="31">
        <f t="shared" si="1"/>
        <v>4</v>
      </c>
    </row>
    <row r="23" spans="1:12" x14ac:dyDescent="0.3">
      <c r="A23" t="s">
        <v>84</v>
      </c>
      <c r="B23" s="29" t="s">
        <v>94</v>
      </c>
      <c r="C23" s="22" t="s">
        <v>56</v>
      </c>
      <c r="D23" s="4" t="s">
        <v>94</v>
      </c>
      <c r="E23" s="22" t="s">
        <v>56</v>
      </c>
      <c r="F23" s="4" t="s">
        <v>94</v>
      </c>
      <c r="G23" s="22" t="s">
        <v>56</v>
      </c>
      <c r="H23" s="30" t="s">
        <v>94</v>
      </c>
      <c r="I23">
        <v>65.3</v>
      </c>
      <c r="J23">
        <v>62.7</v>
      </c>
      <c r="K23" s="23">
        <f t="shared" si="0"/>
        <v>-2.5999999999999943</v>
      </c>
      <c r="L23" s="31">
        <f t="shared" si="1"/>
        <v>4</v>
      </c>
    </row>
    <row r="24" spans="1:12" x14ac:dyDescent="0.3">
      <c r="A24" s="25" t="s">
        <v>57</v>
      </c>
      <c r="B24" s="32">
        <f>COUNTIF(B14:B23,"X")</f>
        <v>10</v>
      </c>
      <c r="C24" s="26" t="s">
        <v>56</v>
      </c>
      <c r="D24" s="32">
        <f>COUNTIF(D14:D23,"X")</f>
        <v>10</v>
      </c>
      <c r="E24" s="26" t="s">
        <v>56</v>
      </c>
      <c r="F24" s="32">
        <f>COUNTIF(F14:F23,"X")</f>
        <v>10</v>
      </c>
      <c r="G24" s="26" t="s">
        <v>56</v>
      </c>
      <c r="H24" s="32">
        <f>COUNTIF(H14:H23,"X")</f>
        <v>10</v>
      </c>
      <c r="I24" s="27">
        <f>IFERROR(AVERAGE(I14:I23),0)</f>
        <v>53.219999999999992</v>
      </c>
      <c r="J24" s="27">
        <f>IFERROR(AVERAGE(J14:J23),0)</f>
        <v>51.63000000000001</v>
      </c>
      <c r="K24" s="27">
        <f>IFERROR(AVERAGE(K14:K23),0)</f>
        <v>-1.5899999999999976</v>
      </c>
      <c r="L24" s="33">
        <f>SUM(L14:L23)</f>
        <v>40</v>
      </c>
    </row>
  </sheetData>
  <mergeCells count="3">
    <mergeCell ref="A1:L1"/>
    <mergeCell ref="A2:L2"/>
    <mergeCell ref="A4:L4"/>
  </mergeCells>
  <conditionalFormatting sqref="B14:B23">
    <cfRule type="cellIs" dxfId="17" priority="2" operator="equal">
      <formula>"X"</formula>
    </cfRule>
    <cfRule type="cellIs" dxfId="16" priority="3" operator="equal">
      <formula>"x"</formula>
    </cfRule>
  </conditionalFormatting>
  <conditionalFormatting sqref="D14:D23">
    <cfRule type="cellIs" dxfId="15" priority="4" operator="equal">
      <formula>"X"</formula>
    </cfRule>
    <cfRule type="cellIs" dxfId="14" priority="5" operator="equal">
      <formula>"x"</formula>
    </cfRule>
  </conditionalFormatting>
  <conditionalFormatting sqref="F14:F23">
    <cfRule type="cellIs" dxfId="13" priority="6" operator="equal">
      <formula>"X"</formula>
    </cfRule>
    <cfRule type="cellIs" dxfId="12" priority="7" operator="equal">
      <formula>"x"</formula>
    </cfRule>
  </conditionalFormatting>
  <conditionalFormatting sqref="H14:H23">
    <cfRule type="cellIs" dxfId="11" priority="8" operator="equal">
      <formula>"X"</formula>
    </cfRule>
    <cfRule type="cellIs" dxfId="10" priority="9" operator="equal">
      <formula>"x"</formula>
    </cfRule>
  </conditionalFormatting>
  <dataValidations count="1">
    <dataValidation type="list" allowBlank="1" sqref="B14:B23 D14:D23 F14:F23 H14:H23" xr:uid="{00000000-0002-0000-0200-000000000000}">
      <formula1>"X,x"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4"/>
  <sheetViews>
    <sheetView zoomScale="81" zoomScaleNormal="100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 activeCell="A2" sqref="A2:L2"/>
    </sheetView>
  </sheetViews>
  <sheetFormatPr defaultColWidth="8.6640625" defaultRowHeight="14.4" x14ac:dyDescent="0.3"/>
  <cols>
    <col min="1" max="1" width="22" customWidth="1"/>
    <col min="2" max="8" width="13" customWidth="1"/>
    <col min="9" max="10" width="14" customWidth="1"/>
    <col min="11" max="11" width="12" customWidth="1"/>
    <col min="12" max="12" width="14" customWidth="1"/>
  </cols>
  <sheetData>
    <row r="1" spans="1:12" ht="21" x14ac:dyDescent="0.4">
      <c r="A1" s="36" t="s">
        <v>108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x14ac:dyDescent="0.3">
      <c r="A2" s="37" t="s">
        <v>63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4" spans="1:12" ht="15.6" x14ac:dyDescent="0.3">
      <c r="A4" s="38" t="s">
        <v>30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6" spans="1:12" ht="31.5" customHeight="1" x14ac:dyDescent="0.3">
      <c r="A6" s="10" t="s">
        <v>31</v>
      </c>
      <c r="B6" s="10" t="s">
        <v>32</v>
      </c>
      <c r="C6" s="10" t="s">
        <v>33</v>
      </c>
      <c r="D6" s="10" t="s">
        <v>34</v>
      </c>
      <c r="E6" s="10" t="s">
        <v>35</v>
      </c>
      <c r="F6" s="10" t="s">
        <v>36</v>
      </c>
      <c r="G6" s="10" t="s">
        <v>37</v>
      </c>
      <c r="H6" s="10" t="s">
        <v>38</v>
      </c>
      <c r="I6" s="10" t="s">
        <v>39</v>
      </c>
      <c r="J6" s="10" t="s">
        <v>40</v>
      </c>
      <c r="K6" s="10" t="s">
        <v>41</v>
      </c>
      <c r="L6" s="10" t="s">
        <v>42</v>
      </c>
    </row>
    <row r="7" spans="1:12" ht="27.75" customHeight="1" x14ac:dyDescent="0.3">
      <c r="A7" s="11" t="s">
        <v>43</v>
      </c>
      <c r="B7" s="12" t="s">
        <v>60</v>
      </c>
      <c r="C7" s="12" t="s">
        <v>46</v>
      </c>
      <c r="D7" s="12" t="s">
        <v>61</v>
      </c>
      <c r="E7" s="12" t="s">
        <v>46</v>
      </c>
      <c r="F7" s="12" t="s">
        <v>61</v>
      </c>
      <c r="G7" s="12" t="s">
        <v>46</v>
      </c>
      <c r="H7" s="12" t="s">
        <v>62</v>
      </c>
      <c r="I7" s="12" t="s">
        <v>47</v>
      </c>
      <c r="J7" s="12" t="s">
        <v>47</v>
      </c>
      <c r="K7" s="12" t="s">
        <v>48</v>
      </c>
      <c r="L7" s="12" t="s">
        <v>49</v>
      </c>
    </row>
    <row r="9" spans="1:12" x14ac:dyDescent="0.3">
      <c r="A9" s="13" t="s">
        <v>50</v>
      </c>
      <c r="B9" s="14" t="s">
        <v>51</v>
      </c>
      <c r="D9" s="15" t="s">
        <v>52</v>
      </c>
      <c r="F9" s="16" t="s">
        <v>53</v>
      </c>
      <c r="H9" s="17" t="s">
        <v>54</v>
      </c>
    </row>
    <row r="11" spans="1:12" x14ac:dyDescent="0.3">
      <c r="A11" s="18" t="s">
        <v>4</v>
      </c>
    </row>
    <row r="12" spans="1:12" ht="31.5" customHeight="1" x14ac:dyDescent="0.3">
      <c r="A12" s="10"/>
      <c r="B12" s="10" t="s">
        <v>32</v>
      </c>
      <c r="C12" s="10" t="s">
        <v>33</v>
      </c>
      <c r="D12" s="10" t="s">
        <v>34</v>
      </c>
      <c r="E12" s="10" t="s">
        <v>35</v>
      </c>
      <c r="F12" s="10" t="s">
        <v>36</v>
      </c>
      <c r="G12" s="10" t="s">
        <v>37</v>
      </c>
      <c r="H12" s="10" t="s">
        <v>38</v>
      </c>
      <c r="I12" s="10" t="s">
        <v>39</v>
      </c>
      <c r="J12" s="10" t="s">
        <v>40</v>
      </c>
      <c r="K12" s="10" t="s">
        <v>41</v>
      </c>
      <c r="L12" s="10" t="s">
        <v>42</v>
      </c>
    </row>
    <row r="13" spans="1:12" ht="27.75" customHeight="1" x14ac:dyDescent="0.3">
      <c r="A13" s="12" t="s">
        <v>55</v>
      </c>
      <c r="B13" s="12" t="s">
        <v>60</v>
      </c>
      <c r="C13" s="12" t="s">
        <v>46</v>
      </c>
      <c r="D13" s="12" t="s">
        <v>61</v>
      </c>
      <c r="E13" s="12" t="s">
        <v>46</v>
      </c>
      <c r="F13" s="12" t="s">
        <v>61</v>
      </c>
      <c r="G13" s="12" t="s">
        <v>46</v>
      </c>
      <c r="H13" s="12" t="s">
        <v>62</v>
      </c>
      <c r="I13" s="12" t="s">
        <v>47</v>
      </c>
      <c r="J13" s="12" t="s">
        <v>47</v>
      </c>
      <c r="K13" s="12" t="s">
        <v>48</v>
      </c>
      <c r="L13" s="12" t="s">
        <v>49</v>
      </c>
    </row>
    <row r="14" spans="1:12" x14ac:dyDescent="0.3">
      <c r="A14" t="s">
        <v>105</v>
      </c>
      <c r="B14" s="29" t="s">
        <v>94</v>
      </c>
      <c r="C14" s="22" t="s">
        <v>56</v>
      </c>
      <c r="D14" s="4" t="s">
        <v>94</v>
      </c>
      <c r="E14" s="22" t="s">
        <v>56</v>
      </c>
      <c r="F14" s="4" t="s">
        <v>94</v>
      </c>
      <c r="G14" s="22" t="s">
        <v>56</v>
      </c>
      <c r="H14" s="30" t="s">
        <v>94</v>
      </c>
      <c r="I14">
        <v>56.1</v>
      </c>
      <c r="J14">
        <v>53.7</v>
      </c>
      <c r="K14" s="23">
        <f t="shared" ref="K14:K23" si="0">IF(AND(ISNUMBER(I14),ISNUMBER(J14)),J14-I14,"")</f>
        <v>-2.3999999999999986</v>
      </c>
      <c r="L14" s="31">
        <f t="shared" ref="L14:L23" si="1">IF(UPPER(B14)="X",1,0)+IF(UPPER(D14)="X",1,0)+IF(UPPER(F14)="X",1,0)+IF(UPPER(H14)="X",1,0)</f>
        <v>4</v>
      </c>
    </row>
    <row r="15" spans="1:12" x14ac:dyDescent="0.3">
      <c r="A15" t="s">
        <v>85</v>
      </c>
      <c r="B15" s="29" t="s">
        <v>94</v>
      </c>
      <c r="C15" s="22" t="s">
        <v>56</v>
      </c>
      <c r="D15" s="4" t="s">
        <v>94</v>
      </c>
      <c r="E15" s="22" t="s">
        <v>56</v>
      </c>
      <c r="F15" s="4" t="s">
        <v>94</v>
      </c>
      <c r="G15" s="22" t="s">
        <v>56</v>
      </c>
      <c r="H15" s="30" t="s">
        <v>94</v>
      </c>
      <c r="I15">
        <v>38.9</v>
      </c>
      <c r="J15">
        <v>36.700000000000003</v>
      </c>
      <c r="K15" s="23">
        <f t="shared" si="0"/>
        <v>-2.1999999999999957</v>
      </c>
      <c r="L15" s="31">
        <f t="shared" si="1"/>
        <v>4</v>
      </c>
    </row>
    <row r="16" spans="1:12" x14ac:dyDescent="0.3">
      <c r="A16" t="s">
        <v>86</v>
      </c>
      <c r="B16" s="29" t="s">
        <v>94</v>
      </c>
      <c r="C16" s="22" t="s">
        <v>56</v>
      </c>
      <c r="D16" s="4" t="s">
        <v>94</v>
      </c>
      <c r="E16" s="22" t="s">
        <v>56</v>
      </c>
      <c r="F16" s="4" t="s">
        <v>94</v>
      </c>
      <c r="G16" s="22" t="s">
        <v>56</v>
      </c>
      <c r="H16" s="30" t="s">
        <v>94</v>
      </c>
      <c r="I16">
        <v>66.7</v>
      </c>
      <c r="J16">
        <v>65.8</v>
      </c>
      <c r="K16" s="23">
        <f t="shared" si="0"/>
        <v>-0.90000000000000568</v>
      </c>
      <c r="L16" s="31">
        <f t="shared" si="1"/>
        <v>4</v>
      </c>
    </row>
    <row r="17" spans="1:12" x14ac:dyDescent="0.3">
      <c r="A17" t="s">
        <v>87</v>
      </c>
      <c r="B17" s="29" t="s">
        <v>94</v>
      </c>
      <c r="C17" s="22" t="s">
        <v>56</v>
      </c>
      <c r="D17" s="4" t="s">
        <v>94</v>
      </c>
      <c r="E17" s="22" t="s">
        <v>56</v>
      </c>
      <c r="F17" s="4" t="s">
        <v>94</v>
      </c>
      <c r="G17" s="22" t="s">
        <v>56</v>
      </c>
      <c r="H17" s="30" t="s">
        <v>94</v>
      </c>
      <c r="I17">
        <v>42.8</v>
      </c>
      <c r="J17">
        <v>39.700000000000003</v>
      </c>
      <c r="K17" s="23">
        <f t="shared" si="0"/>
        <v>-3.0999999999999943</v>
      </c>
      <c r="L17" s="31">
        <f t="shared" si="1"/>
        <v>4</v>
      </c>
    </row>
    <row r="18" spans="1:12" x14ac:dyDescent="0.3">
      <c r="A18" t="s">
        <v>88</v>
      </c>
      <c r="B18" s="29" t="s">
        <v>94</v>
      </c>
      <c r="C18" s="22" t="s">
        <v>56</v>
      </c>
      <c r="D18" s="4" t="s">
        <v>94</v>
      </c>
      <c r="E18" s="22" t="s">
        <v>56</v>
      </c>
      <c r="F18" s="4" t="s">
        <v>94</v>
      </c>
      <c r="G18" s="22" t="s">
        <v>56</v>
      </c>
      <c r="H18" s="30" t="s">
        <v>94</v>
      </c>
      <c r="I18">
        <v>50.3</v>
      </c>
      <c r="J18">
        <v>48</v>
      </c>
      <c r="K18" s="23">
        <f t="shared" si="0"/>
        <v>-2.2999999999999972</v>
      </c>
      <c r="L18" s="31">
        <f t="shared" si="1"/>
        <v>4</v>
      </c>
    </row>
    <row r="19" spans="1:12" x14ac:dyDescent="0.3">
      <c r="A19" t="s">
        <v>89</v>
      </c>
      <c r="B19" s="29" t="s">
        <v>94</v>
      </c>
      <c r="C19" s="22" t="s">
        <v>56</v>
      </c>
      <c r="D19" s="4" t="s">
        <v>94</v>
      </c>
      <c r="E19" s="22" t="s">
        <v>56</v>
      </c>
      <c r="F19" s="4" t="s">
        <v>94</v>
      </c>
      <c r="G19" s="22" t="s">
        <v>56</v>
      </c>
      <c r="H19" s="30" t="s">
        <v>94</v>
      </c>
      <c r="I19">
        <v>60.8</v>
      </c>
      <c r="J19">
        <v>58.4</v>
      </c>
      <c r="K19" s="23">
        <f t="shared" si="0"/>
        <v>-2.3999999999999986</v>
      </c>
      <c r="L19" s="31">
        <f t="shared" si="1"/>
        <v>4</v>
      </c>
    </row>
    <row r="20" spans="1:12" x14ac:dyDescent="0.3">
      <c r="A20" t="s">
        <v>90</v>
      </c>
      <c r="B20" s="29" t="s">
        <v>94</v>
      </c>
      <c r="C20" s="22" t="s">
        <v>56</v>
      </c>
      <c r="D20" s="4" t="s">
        <v>94</v>
      </c>
      <c r="E20" s="22" t="s">
        <v>56</v>
      </c>
      <c r="F20" s="4" t="s">
        <v>94</v>
      </c>
      <c r="G20" s="22" t="s">
        <v>56</v>
      </c>
      <c r="H20" s="30" t="s">
        <v>94</v>
      </c>
      <c r="I20">
        <v>79.8</v>
      </c>
      <c r="J20">
        <v>77.2</v>
      </c>
      <c r="K20" s="23">
        <f t="shared" si="0"/>
        <v>-2.5999999999999943</v>
      </c>
      <c r="L20" s="31">
        <f t="shared" si="1"/>
        <v>4</v>
      </c>
    </row>
    <row r="21" spans="1:12" x14ac:dyDescent="0.3">
      <c r="A21" t="s">
        <v>91</v>
      </c>
      <c r="B21" s="29" t="s">
        <v>94</v>
      </c>
      <c r="C21" s="22" t="s">
        <v>56</v>
      </c>
      <c r="D21" s="4" t="s">
        <v>94</v>
      </c>
      <c r="E21" s="22" t="s">
        <v>56</v>
      </c>
      <c r="F21" s="4" t="s">
        <v>94</v>
      </c>
      <c r="G21" s="22" t="s">
        <v>56</v>
      </c>
      <c r="H21" s="30" t="s">
        <v>94</v>
      </c>
      <c r="I21">
        <v>38.799999999999997</v>
      </c>
      <c r="J21">
        <v>36.700000000000003</v>
      </c>
      <c r="K21" s="23">
        <f t="shared" si="0"/>
        <v>-2.0999999999999943</v>
      </c>
      <c r="L21" s="31">
        <f t="shared" si="1"/>
        <v>4</v>
      </c>
    </row>
    <row r="22" spans="1:12" x14ac:dyDescent="0.3">
      <c r="A22" t="s">
        <v>92</v>
      </c>
      <c r="B22" s="29" t="s">
        <v>94</v>
      </c>
      <c r="C22" s="22" t="s">
        <v>56</v>
      </c>
      <c r="D22" s="4" t="s">
        <v>94</v>
      </c>
      <c r="E22" s="22" t="s">
        <v>56</v>
      </c>
      <c r="F22" s="4" t="s">
        <v>94</v>
      </c>
      <c r="G22" s="22" t="s">
        <v>56</v>
      </c>
      <c r="H22" s="30" t="s">
        <v>94</v>
      </c>
      <c r="I22">
        <v>46.5</v>
      </c>
      <c r="J22">
        <v>44</v>
      </c>
      <c r="K22" s="23">
        <f t="shared" si="0"/>
        <v>-2.5</v>
      </c>
      <c r="L22" s="31">
        <f t="shared" si="1"/>
        <v>4</v>
      </c>
    </row>
    <row r="23" spans="1:12" x14ac:dyDescent="0.3">
      <c r="A23" t="s">
        <v>93</v>
      </c>
      <c r="B23" s="29" t="s">
        <v>94</v>
      </c>
      <c r="C23" s="22" t="s">
        <v>56</v>
      </c>
      <c r="D23" s="4" t="s">
        <v>94</v>
      </c>
      <c r="E23" s="22" t="s">
        <v>56</v>
      </c>
      <c r="F23" s="4" t="s">
        <v>94</v>
      </c>
      <c r="G23" s="22" t="s">
        <v>56</v>
      </c>
      <c r="H23" s="30" t="s">
        <v>94</v>
      </c>
      <c r="I23">
        <v>38.700000000000003</v>
      </c>
      <c r="J23">
        <v>35.700000000000003</v>
      </c>
      <c r="K23" s="23">
        <f t="shared" si="0"/>
        <v>-3</v>
      </c>
      <c r="L23" s="31">
        <f t="shared" si="1"/>
        <v>4</v>
      </c>
    </row>
    <row r="24" spans="1:12" x14ac:dyDescent="0.3">
      <c r="A24" s="25" t="s">
        <v>57</v>
      </c>
      <c r="B24" s="32">
        <f>COUNTIF(B14:B23,"X")</f>
        <v>10</v>
      </c>
      <c r="C24" s="26" t="s">
        <v>56</v>
      </c>
      <c r="D24" s="32">
        <f>COUNTIF(D14:D23,"X")</f>
        <v>10</v>
      </c>
      <c r="E24" s="26" t="s">
        <v>56</v>
      </c>
      <c r="F24" s="32">
        <f>COUNTIF(F14:F23,"X")</f>
        <v>10</v>
      </c>
      <c r="G24" s="26" t="s">
        <v>56</v>
      </c>
      <c r="H24" s="32">
        <f>COUNTIF(H14:H23,"X")</f>
        <v>10</v>
      </c>
      <c r="I24" s="27">
        <f>IFERROR(AVERAGE(I14:I23),0)</f>
        <v>51.940000000000012</v>
      </c>
      <c r="J24" s="27">
        <f>IFERROR(AVERAGE(J14:J23),0)</f>
        <v>49.589999999999989</v>
      </c>
      <c r="K24" s="27">
        <f>IFERROR(AVERAGE(K14:K23),0)</f>
        <v>-2.3499999999999979</v>
      </c>
      <c r="L24" s="33">
        <f>SUM(L14:L23)</f>
        <v>40</v>
      </c>
    </row>
  </sheetData>
  <mergeCells count="3">
    <mergeCell ref="A1:L1"/>
    <mergeCell ref="A2:L2"/>
    <mergeCell ref="A4:L4"/>
  </mergeCells>
  <conditionalFormatting sqref="B14:B23">
    <cfRule type="cellIs" dxfId="9" priority="2" operator="equal">
      <formula>"X"</formula>
    </cfRule>
    <cfRule type="cellIs" dxfId="8" priority="3" operator="equal">
      <formula>"x"</formula>
    </cfRule>
  </conditionalFormatting>
  <conditionalFormatting sqref="D14:D23">
    <cfRule type="cellIs" dxfId="7" priority="4" operator="equal">
      <formula>"X"</formula>
    </cfRule>
    <cfRule type="cellIs" dxfId="6" priority="5" operator="equal">
      <formula>"x"</formula>
    </cfRule>
  </conditionalFormatting>
  <conditionalFormatting sqref="F14:F23">
    <cfRule type="cellIs" dxfId="5" priority="6" operator="equal">
      <formula>"X"</formula>
    </cfRule>
    <cfRule type="cellIs" dxfId="4" priority="7" operator="equal">
      <formula>"x"</formula>
    </cfRule>
  </conditionalFormatting>
  <conditionalFormatting sqref="H14:H23">
    <cfRule type="cellIs" dxfId="3" priority="8" operator="equal">
      <formula>"X"</formula>
    </cfRule>
    <cfRule type="cellIs" dxfId="2" priority="9" operator="equal">
      <formula>"x"</formula>
    </cfRule>
  </conditionalFormatting>
  <dataValidations disablePrompts="1" count="1">
    <dataValidation type="list" allowBlank="1" sqref="B14:B23 D14:D23 F14:F23 H14:H23" xr:uid="{00000000-0002-0000-0300-000000000000}">
      <formula1>"X,x"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4"/>
  <sheetViews>
    <sheetView tabSelected="1" zoomScale="72" zoomScaleNormal="100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 activeCell="P26" sqref="P26"/>
    </sheetView>
  </sheetViews>
  <sheetFormatPr defaultColWidth="8.6640625" defaultRowHeight="14.4" x14ac:dyDescent="0.3"/>
  <cols>
    <col min="1" max="1" width="22" customWidth="1"/>
    <col min="2" max="8" width="13" customWidth="1"/>
    <col min="9" max="10" width="14" customWidth="1"/>
    <col min="11" max="11" width="12" customWidth="1"/>
    <col min="12" max="12" width="14" customWidth="1"/>
  </cols>
  <sheetData>
    <row r="1" spans="1:12" ht="21" x14ac:dyDescent="0.4">
      <c r="A1" s="36" t="s">
        <v>64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x14ac:dyDescent="0.3">
      <c r="A2" s="37" t="s">
        <v>63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4" spans="1:12" ht="15.6" x14ac:dyDescent="0.3">
      <c r="A4" s="38" t="s">
        <v>30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6" spans="1:12" ht="31.5" customHeight="1" x14ac:dyDescent="0.3">
      <c r="A6" s="10" t="s">
        <v>31</v>
      </c>
      <c r="B6" s="10" t="s">
        <v>32</v>
      </c>
      <c r="C6" s="10" t="s">
        <v>33</v>
      </c>
      <c r="D6" s="10" t="s">
        <v>34</v>
      </c>
      <c r="E6" s="10" t="s">
        <v>35</v>
      </c>
      <c r="F6" s="10" t="s">
        <v>36</v>
      </c>
      <c r="G6" s="10" t="s">
        <v>37</v>
      </c>
      <c r="H6" s="10" t="s">
        <v>38</v>
      </c>
      <c r="I6" s="10" t="s">
        <v>39</v>
      </c>
      <c r="J6" s="10" t="s">
        <v>40</v>
      </c>
      <c r="K6" s="10" t="s">
        <v>41</v>
      </c>
      <c r="L6" s="10" t="s">
        <v>42</v>
      </c>
    </row>
    <row r="7" spans="1:12" ht="27.75" customHeight="1" x14ac:dyDescent="0.3">
      <c r="A7" s="11" t="s">
        <v>43</v>
      </c>
      <c r="B7" s="12" t="s">
        <v>60</v>
      </c>
      <c r="C7" s="12" t="s">
        <v>61</v>
      </c>
      <c r="D7" s="12" t="s">
        <v>61</v>
      </c>
      <c r="E7" s="12" t="s">
        <v>61</v>
      </c>
      <c r="F7" s="12" t="s">
        <v>61</v>
      </c>
      <c r="G7" s="12" t="s">
        <v>61</v>
      </c>
      <c r="H7" s="12" t="s">
        <v>62</v>
      </c>
      <c r="I7" s="12" t="s">
        <v>47</v>
      </c>
      <c r="J7" s="12" t="s">
        <v>47</v>
      </c>
      <c r="K7" s="12" t="s">
        <v>48</v>
      </c>
      <c r="L7" s="12" t="s">
        <v>49</v>
      </c>
    </row>
    <row r="9" spans="1:12" x14ac:dyDescent="0.3">
      <c r="A9" s="13" t="s">
        <v>50</v>
      </c>
      <c r="B9" s="14" t="s">
        <v>51</v>
      </c>
      <c r="D9" s="15" t="s">
        <v>52</v>
      </c>
      <c r="F9" s="16" t="s">
        <v>53</v>
      </c>
      <c r="H9" s="17" t="s">
        <v>54</v>
      </c>
    </row>
    <row r="11" spans="1:12" x14ac:dyDescent="0.3">
      <c r="A11" s="18" t="s">
        <v>4</v>
      </c>
    </row>
    <row r="12" spans="1:12" ht="31.5" customHeight="1" x14ac:dyDescent="0.3">
      <c r="A12" s="10"/>
      <c r="B12" s="10" t="s">
        <v>32</v>
      </c>
      <c r="C12" s="10" t="s">
        <v>33</v>
      </c>
      <c r="D12" s="10" t="s">
        <v>34</v>
      </c>
      <c r="E12" s="10" t="s">
        <v>35</v>
      </c>
      <c r="F12" s="10" t="s">
        <v>36</v>
      </c>
      <c r="G12" s="10" t="s">
        <v>37</v>
      </c>
      <c r="H12" s="10" t="s">
        <v>38</v>
      </c>
      <c r="I12" s="10" t="s">
        <v>39</v>
      </c>
      <c r="J12" s="10" t="s">
        <v>40</v>
      </c>
      <c r="K12" s="10" t="s">
        <v>41</v>
      </c>
      <c r="L12" s="10" t="s">
        <v>42</v>
      </c>
    </row>
    <row r="13" spans="1:12" ht="27.75" customHeight="1" x14ac:dyDescent="0.3">
      <c r="A13" s="12" t="s">
        <v>55</v>
      </c>
      <c r="B13" s="12" t="s">
        <v>60</v>
      </c>
      <c r="C13" s="12" t="s">
        <v>61</v>
      </c>
      <c r="D13" s="12" t="s">
        <v>61</v>
      </c>
      <c r="E13" s="12" t="s">
        <v>61</v>
      </c>
      <c r="F13" s="12" t="s">
        <v>61</v>
      </c>
      <c r="G13" s="12" t="s">
        <v>61</v>
      </c>
      <c r="H13" s="12" t="s">
        <v>62</v>
      </c>
      <c r="I13" s="12" t="s">
        <v>47</v>
      </c>
      <c r="J13" s="12" t="s">
        <v>47</v>
      </c>
      <c r="K13" s="12" t="s">
        <v>48</v>
      </c>
      <c r="L13" s="12" t="s">
        <v>49</v>
      </c>
    </row>
    <row r="14" spans="1:12" x14ac:dyDescent="0.3">
      <c r="A14" t="s">
        <v>95</v>
      </c>
      <c r="B14" s="29" t="s">
        <v>94</v>
      </c>
      <c r="C14" s="4" t="s">
        <v>94</v>
      </c>
      <c r="D14" s="4" t="s">
        <v>94</v>
      </c>
      <c r="E14" s="4" t="s">
        <v>94</v>
      </c>
      <c r="F14" s="4" t="s">
        <v>94</v>
      </c>
      <c r="G14" s="4" t="s">
        <v>94</v>
      </c>
      <c r="H14" s="30" t="s">
        <v>94</v>
      </c>
      <c r="I14">
        <v>40.9</v>
      </c>
      <c r="J14">
        <v>39.4</v>
      </c>
      <c r="K14" s="23">
        <f t="shared" ref="K14:K23" si="0">IF(AND(ISNUMBER(I14),ISNUMBER(J14)),J14-I14,"")</f>
        <v>-1.5</v>
      </c>
      <c r="L14" s="34">
        <f t="shared" ref="L14:L23" si="1">IF(UPPER(B14)="X",1,0)+IF(UPPER(C14)="X",1,0)+IF(UPPER(D14)="X",1,0)+IF(UPPER(E14)="X",1,0)+IF(UPPER(F14)="X",1,0)+IF(UPPER(G14)="X",1,0)+IF(UPPER(H14)="X",1,0)</f>
        <v>7</v>
      </c>
    </row>
    <row r="15" spans="1:12" x14ac:dyDescent="0.3">
      <c r="A15" t="s">
        <v>96</v>
      </c>
      <c r="B15" s="29" t="s">
        <v>94</v>
      </c>
      <c r="C15" s="4" t="s">
        <v>94</v>
      </c>
      <c r="D15" s="4" t="s">
        <v>94</v>
      </c>
      <c r="E15" s="4" t="s">
        <v>94</v>
      </c>
      <c r="F15" s="4" t="s">
        <v>94</v>
      </c>
      <c r="G15" s="4" t="s">
        <v>94</v>
      </c>
      <c r="H15" s="30" t="s">
        <v>94</v>
      </c>
      <c r="I15">
        <v>64.400000000000006</v>
      </c>
      <c r="J15">
        <v>63.8</v>
      </c>
      <c r="K15" s="23">
        <f t="shared" si="0"/>
        <v>-0.60000000000000853</v>
      </c>
      <c r="L15" s="34">
        <f t="shared" si="1"/>
        <v>7</v>
      </c>
    </row>
    <row r="16" spans="1:12" x14ac:dyDescent="0.3">
      <c r="A16" t="s">
        <v>97</v>
      </c>
      <c r="B16" s="29" t="s">
        <v>94</v>
      </c>
      <c r="C16" s="4" t="s">
        <v>94</v>
      </c>
      <c r="D16" s="4" t="s">
        <v>94</v>
      </c>
      <c r="E16" s="4" t="s">
        <v>94</v>
      </c>
      <c r="F16" s="4" t="s">
        <v>94</v>
      </c>
      <c r="G16" s="4" t="s">
        <v>94</v>
      </c>
      <c r="H16" s="30" t="s">
        <v>94</v>
      </c>
      <c r="I16">
        <v>66.7</v>
      </c>
      <c r="J16">
        <v>65.3</v>
      </c>
      <c r="K16" s="23">
        <f t="shared" si="0"/>
        <v>-1.4000000000000057</v>
      </c>
      <c r="L16" s="34">
        <f t="shared" si="1"/>
        <v>7</v>
      </c>
    </row>
    <row r="17" spans="1:15" x14ac:dyDescent="0.3">
      <c r="A17" t="s">
        <v>98</v>
      </c>
      <c r="B17" s="29" t="s">
        <v>94</v>
      </c>
      <c r="C17" s="4" t="s">
        <v>94</v>
      </c>
      <c r="D17" s="4" t="s">
        <v>94</v>
      </c>
      <c r="E17" s="4" t="s">
        <v>94</v>
      </c>
      <c r="F17" s="4" t="s">
        <v>94</v>
      </c>
      <c r="G17" s="4" t="s">
        <v>94</v>
      </c>
      <c r="H17" s="30" t="s">
        <v>94</v>
      </c>
      <c r="I17">
        <v>67.599999999999994</v>
      </c>
      <c r="J17">
        <v>65.5</v>
      </c>
      <c r="K17" s="23">
        <f t="shared" si="0"/>
        <v>-2.0999999999999943</v>
      </c>
      <c r="L17" s="34">
        <f t="shared" si="1"/>
        <v>7</v>
      </c>
    </row>
    <row r="18" spans="1:15" x14ac:dyDescent="0.3">
      <c r="A18" t="s">
        <v>99</v>
      </c>
      <c r="B18" s="29" t="s">
        <v>94</v>
      </c>
      <c r="C18" s="4" t="s">
        <v>94</v>
      </c>
      <c r="D18" s="4" t="s">
        <v>94</v>
      </c>
      <c r="E18" s="4" t="s">
        <v>94</v>
      </c>
      <c r="F18" s="4" t="s">
        <v>94</v>
      </c>
      <c r="G18" s="4" t="s">
        <v>94</v>
      </c>
      <c r="H18" s="30" t="s">
        <v>94</v>
      </c>
      <c r="I18">
        <v>56.6</v>
      </c>
      <c r="J18">
        <v>55.3</v>
      </c>
      <c r="K18" s="23">
        <f t="shared" si="0"/>
        <v>-1.3000000000000043</v>
      </c>
      <c r="L18" s="34">
        <f t="shared" si="1"/>
        <v>7</v>
      </c>
    </row>
    <row r="19" spans="1:15" x14ac:dyDescent="0.3">
      <c r="A19" t="s">
        <v>100</v>
      </c>
      <c r="B19" s="29" t="s">
        <v>94</v>
      </c>
      <c r="C19" s="4" t="s">
        <v>94</v>
      </c>
      <c r="D19" s="4" t="s">
        <v>94</v>
      </c>
      <c r="E19" s="4" t="s">
        <v>94</v>
      </c>
      <c r="F19" s="4" t="s">
        <v>94</v>
      </c>
      <c r="G19" s="4" t="s">
        <v>94</v>
      </c>
      <c r="H19" s="30" t="s">
        <v>94</v>
      </c>
      <c r="I19">
        <v>58.6</v>
      </c>
      <c r="J19">
        <v>56.4</v>
      </c>
      <c r="K19" s="23">
        <f t="shared" si="0"/>
        <v>-2.2000000000000028</v>
      </c>
      <c r="L19" s="34">
        <f t="shared" si="1"/>
        <v>7</v>
      </c>
    </row>
    <row r="20" spans="1:15" x14ac:dyDescent="0.3">
      <c r="A20" t="s">
        <v>101</v>
      </c>
      <c r="B20" s="29" t="s">
        <v>94</v>
      </c>
      <c r="C20" s="4" t="s">
        <v>94</v>
      </c>
      <c r="D20" s="4" t="s">
        <v>94</v>
      </c>
      <c r="E20" s="4" t="s">
        <v>94</v>
      </c>
      <c r="F20" s="4" t="s">
        <v>94</v>
      </c>
      <c r="G20" s="4" t="s">
        <v>94</v>
      </c>
      <c r="H20" s="30" t="s">
        <v>94</v>
      </c>
      <c r="I20">
        <v>39.4</v>
      </c>
      <c r="J20">
        <v>39.9</v>
      </c>
      <c r="K20" s="23">
        <f t="shared" si="0"/>
        <v>0.5</v>
      </c>
      <c r="L20" s="34">
        <f t="shared" si="1"/>
        <v>7</v>
      </c>
    </row>
    <row r="21" spans="1:15" x14ac:dyDescent="0.3">
      <c r="A21" t="s">
        <v>102</v>
      </c>
      <c r="B21" s="29" t="s">
        <v>94</v>
      </c>
      <c r="C21" s="4" t="s">
        <v>94</v>
      </c>
      <c r="D21" s="4" t="s">
        <v>94</v>
      </c>
      <c r="E21" s="4" t="s">
        <v>94</v>
      </c>
      <c r="F21" s="4" t="s">
        <v>94</v>
      </c>
      <c r="G21" s="4" t="s">
        <v>94</v>
      </c>
      <c r="H21" s="30" t="s">
        <v>94</v>
      </c>
      <c r="I21">
        <v>74.3</v>
      </c>
      <c r="J21">
        <v>72.599999999999994</v>
      </c>
      <c r="K21" s="23">
        <f t="shared" si="0"/>
        <v>-1.7000000000000028</v>
      </c>
      <c r="L21" s="34">
        <f t="shared" si="1"/>
        <v>7</v>
      </c>
      <c r="O21" t="s">
        <v>107</v>
      </c>
    </row>
    <row r="22" spans="1:15" x14ac:dyDescent="0.3">
      <c r="A22" t="s">
        <v>103</v>
      </c>
      <c r="B22" s="29" t="s">
        <v>94</v>
      </c>
      <c r="C22" s="4" t="s">
        <v>94</v>
      </c>
      <c r="D22" s="4"/>
      <c r="E22" s="4"/>
      <c r="F22" s="4"/>
      <c r="G22" s="4"/>
      <c r="H22" s="30"/>
      <c r="J22" s="8"/>
      <c r="K22" s="23" t="str">
        <f>IF(AND(ISNUMBER(O22),ISNUMBER(J22)),J22-O22,"")</f>
        <v/>
      </c>
      <c r="L22" s="34">
        <f t="shared" si="1"/>
        <v>2</v>
      </c>
      <c r="M22" t="s">
        <v>106</v>
      </c>
      <c r="O22">
        <v>62.9</v>
      </c>
    </row>
    <row r="23" spans="1:15" x14ac:dyDescent="0.3">
      <c r="A23" t="s">
        <v>104</v>
      </c>
      <c r="B23" s="29" t="s">
        <v>94</v>
      </c>
      <c r="C23" s="4" t="s">
        <v>94</v>
      </c>
      <c r="D23" s="4" t="s">
        <v>94</v>
      </c>
      <c r="E23" s="4" t="s">
        <v>94</v>
      </c>
      <c r="F23" s="4" t="s">
        <v>94</v>
      </c>
      <c r="G23" s="4" t="s">
        <v>94</v>
      </c>
      <c r="H23" s="30" t="s">
        <v>94</v>
      </c>
      <c r="I23">
        <v>68.5</v>
      </c>
      <c r="J23">
        <v>67</v>
      </c>
      <c r="K23" s="23">
        <f t="shared" si="0"/>
        <v>-1.5</v>
      </c>
      <c r="L23" s="34">
        <f t="shared" si="1"/>
        <v>7</v>
      </c>
    </row>
    <row r="24" spans="1:15" x14ac:dyDescent="0.3">
      <c r="A24" s="25" t="s">
        <v>57</v>
      </c>
      <c r="B24" s="32">
        <f t="shared" ref="B24:H24" si="2">COUNTIF(B14:B23,"X")</f>
        <v>10</v>
      </c>
      <c r="C24" s="32">
        <f t="shared" si="2"/>
        <v>10</v>
      </c>
      <c r="D24" s="32">
        <f t="shared" si="2"/>
        <v>9</v>
      </c>
      <c r="E24" s="32">
        <f t="shared" si="2"/>
        <v>9</v>
      </c>
      <c r="F24" s="32">
        <f t="shared" si="2"/>
        <v>9</v>
      </c>
      <c r="G24" s="32">
        <f t="shared" si="2"/>
        <v>9</v>
      </c>
      <c r="H24" s="32">
        <f t="shared" si="2"/>
        <v>9</v>
      </c>
      <c r="I24" s="27">
        <f>IFERROR(AVERAGE(I14:I23),0)</f>
        <v>59.666666666666664</v>
      </c>
      <c r="J24" s="27">
        <f>IFERROR(AVERAGE(J14:J23),0)</f>
        <v>58.355555555555547</v>
      </c>
      <c r="K24" s="27">
        <f>IFERROR(AVERAGE(K14:K23),0)</f>
        <v>-1.3111111111111131</v>
      </c>
      <c r="L24" s="35">
        <f>SUM(L14:L23)</f>
        <v>65</v>
      </c>
    </row>
  </sheetData>
  <mergeCells count="3">
    <mergeCell ref="A1:L1"/>
    <mergeCell ref="A2:L2"/>
    <mergeCell ref="A4:L4"/>
  </mergeCells>
  <conditionalFormatting sqref="B14:H23">
    <cfRule type="cellIs" dxfId="1" priority="2" operator="equal">
      <formula>"X"</formula>
    </cfRule>
    <cfRule type="cellIs" dxfId="0" priority="3" operator="equal">
      <formula>"x"</formula>
    </cfRule>
  </conditionalFormatting>
  <dataValidations disablePrompts="1" count="1">
    <dataValidation type="list" allowBlank="1" sqref="B14:H23" xr:uid="{00000000-0002-0000-0400-000000000000}">
      <formula1>"X,x"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Control</vt:lpstr>
      <vt:lpstr>Minimal</vt:lpstr>
      <vt:lpstr>Moderate</vt:lpstr>
      <vt:lpstr>Maximal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Bradley Kreider</cp:lastModifiedBy>
  <cp:revision>0</cp:revision>
  <dcterms:created xsi:type="dcterms:W3CDTF">2026-04-14T23:04:01Z</dcterms:created>
  <dcterms:modified xsi:type="dcterms:W3CDTF">2026-04-21T16:34:18Z</dcterms:modified>
  <dc:language>en-US</dc:language>
</cp:coreProperties>
</file>